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nudip\"/>
    </mc:Choice>
  </mc:AlternateContent>
  <xr:revisionPtr revIDLastSave="0" documentId="8_{905BC70F-21BC-4380-8038-435299D5E458}" xr6:coauthVersionLast="47" xr6:coauthVersionMax="47" xr10:uidLastSave="{00000000-0000-0000-0000-000000000000}"/>
  <bookViews>
    <workbookView xWindow="-96" yWindow="-96" windowWidth="23232" windowHeight="13872" activeTab="1" xr2:uid="{FADF34C7-AE06-45D9-9060-D9E3435D4AB0}"/>
  </bookViews>
  <sheets>
    <sheet name="KPI" sheetId="3" r:id="rId1"/>
    <sheet name="DB" sheetId="4" r:id="rId2"/>
    <sheet name="Data" sheetId="2" r:id="rId3"/>
  </sheets>
  <definedNames>
    <definedName name="ExternalData_1" localSheetId="2" hidden="1">Data!$A$1:$X$1001</definedName>
    <definedName name="Slicer_City">#N/A</definedName>
    <definedName name="Slicer_Color">#N/A</definedName>
    <definedName name="Slicer_Fuel_Type">#N/A</definedName>
    <definedName name="Slicer_Gender">#N/A</definedName>
    <definedName name="Slicer_Sales_Executive">#N/A</definedName>
  </definedNames>
  <calcPr calcId="191029"/>
  <pivotCaches>
    <pivotCache cacheId="4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3" l="1"/>
  <c r="J10" i="3"/>
  <c r="J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C1D5FB-C8B5-4800-B5A1-7CD5C76E191E}" keepAlive="1" name="Query - Sheet" description="Connection to the 'Sheet' query in the workbook." type="5" refreshedVersion="8" background="1" saveData="1">
    <dbPr connection="Provider=Microsoft.Mashup.OleDb.1;Data Source=$Workbook$;Location=Sheet;Extended Properties=&quot;&quot;" command="SELECT * FROM [Sheet]"/>
  </connection>
</connections>
</file>

<file path=xl/sharedStrings.xml><?xml version="1.0" encoding="utf-8"?>
<sst xmlns="http://schemas.openxmlformats.org/spreadsheetml/2006/main" count="16079" uniqueCount="1095">
  <si>
    <t>Customer_ID</t>
  </si>
  <si>
    <t>Customer Name</t>
  </si>
  <si>
    <t>Age</t>
  </si>
  <si>
    <t>Gender</t>
  </si>
  <si>
    <t>City</t>
  </si>
  <si>
    <t>State</t>
  </si>
  <si>
    <t>Showroom</t>
  </si>
  <si>
    <t>Variant</t>
  </si>
  <si>
    <t>Color</t>
  </si>
  <si>
    <t>Fuel Type</t>
  </si>
  <si>
    <t>Transmission</t>
  </si>
  <si>
    <t>Booking_Date</t>
  </si>
  <si>
    <t>Delivery_Date</t>
  </si>
  <si>
    <t>Ex_Showroom_Price</t>
  </si>
  <si>
    <t>Discount</t>
  </si>
  <si>
    <t>Final_Price</t>
  </si>
  <si>
    <t>Payment Mode</t>
  </si>
  <si>
    <t>Sales Executive</t>
  </si>
  <si>
    <t>Test Drive</t>
  </si>
  <si>
    <t>Finance</t>
  </si>
  <si>
    <t>Customer Rating</t>
  </si>
  <si>
    <t>Delivery Status</t>
  </si>
  <si>
    <t>Month</t>
  </si>
  <si>
    <t>Month Name</t>
  </si>
  <si>
    <t>C0001</t>
  </si>
  <si>
    <t>Meera Iyer</t>
  </si>
  <si>
    <t>Female</t>
  </si>
  <si>
    <t>Hyderabad</t>
  </si>
  <si>
    <t>Telangana</t>
  </si>
  <si>
    <t>Mahindra</t>
  </si>
  <si>
    <t>AX(O)</t>
  </si>
  <si>
    <t>Red</t>
  </si>
  <si>
    <t>Diesel</t>
  </si>
  <si>
    <t>Manual</t>
  </si>
  <si>
    <t>UPI</t>
  </si>
  <si>
    <t>R Mohan</t>
  </si>
  <si>
    <t>No</t>
  </si>
  <si>
    <t>Yes</t>
  </si>
  <si>
    <t>Delayed</t>
  </si>
  <si>
    <t>July</t>
  </si>
  <si>
    <t>C0002</t>
  </si>
  <si>
    <t>Karthik S</t>
  </si>
  <si>
    <t>Male</t>
  </si>
  <si>
    <t>Chennai</t>
  </si>
  <si>
    <t>Tamil Nadu</t>
  </si>
  <si>
    <t>Grey</t>
  </si>
  <si>
    <t>Automatic</t>
  </si>
  <si>
    <t>Credit Card</t>
  </si>
  <si>
    <t>K Deepak</t>
  </si>
  <si>
    <t>December</t>
  </si>
  <si>
    <t>C0003</t>
  </si>
  <si>
    <t>Rohit Singh</t>
  </si>
  <si>
    <t>Madurai</t>
  </si>
  <si>
    <t>White</t>
  </si>
  <si>
    <t>Petrol</t>
  </si>
  <si>
    <t>NEFT</t>
  </si>
  <si>
    <t>In Transit</t>
  </si>
  <si>
    <t>August</t>
  </si>
  <si>
    <t>C0004</t>
  </si>
  <si>
    <t>Green</t>
  </si>
  <si>
    <t>November</t>
  </si>
  <si>
    <t>C0005</t>
  </si>
  <si>
    <t>Priya Nair</t>
  </si>
  <si>
    <t>April</t>
  </si>
  <si>
    <t>C0006</t>
  </si>
  <si>
    <t>LX</t>
  </si>
  <si>
    <t>Loan</t>
  </si>
  <si>
    <t>S Priya</t>
  </si>
  <si>
    <t>June</t>
  </si>
  <si>
    <t>C0007</t>
  </si>
  <si>
    <t>Sneha Patel</t>
  </si>
  <si>
    <t>Pune</t>
  </si>
  <si>
    <t>Maharashtra</t>
  </si>
  <si>
    <t>C0008</t>
  </si>
  <si>
    <t>Black</t>
  </si>
  <si>
    <t>October</t>
  </si>
  <si>
    <t>C0009</t>
  </si>
  <si>
    <t>Earth</t>
  </si>
  <si>
    <t>Cash</t>
  </si>
  <si>
    <t>Nisha</t>
  </si>
  <si>
    <t>C0010</t>
  </si>
  <si>
    <t>Anjali Verma</t>
  </si>
  <si>
    <t>C0011</t>
  </si>
  <si>
    <t>Rahul Sharma</t>
  </si>
  <si>
    <t>Bengaluru</t>
  </si>
  <si>
    <t>Karnataka</t>
  </si>
  <si>
    <t>May</t>
  </si>
  <si>
    <t>C0012</t>
  </si>
  <si>
    <t>January</t>
  </si>
  <si>
    <t>C0013</t>
  </si>
  <si>
    <t>Coimbatore</t>
  </si>
  <si>
    <t>Delivered</t>
  </si>
  <si>
    <t>C0014</t>
  </si>
  <si>
    <t>Vikram Rao</t>
  </si>
  <si>
    <t>C0015</t>
  </si>
  <si>
    <t>C0016</t>
  </si>
  <si>
    <t>March</t>
  </si>
  <si>
    <t>C0017</t>
  </si>
  <si>
    <t>Pooja Das</t>
  </si>
  <si>
    <t>C0018</t>
  </si>
  <si>
    <t>C0019</t>
  </si>
  <si>
    <t>C0020</t>
  </si>
  <si>
    <t>C0021</t>
  </si>
  <si>
    <t>September</t>
  </si>
  <si>
    <t>C0022</t>
  </si>
  <si>
    <t>Arjun Kumar</t>
  </si>
  <si>
    <t>C0023</t>
  </si>
  <si>
    <t>February</t>
  </si>
  <si>
    <t>C0024</t>
  </si>
  <si>
    <t>A Kumar</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</si>
  <si>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</si>
  <si>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</si>
  <si>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</si>
  <si>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</si>
  <si>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</si>
  <si>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</si>
  <si>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</si>
  <si>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</si>
  <si>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</si>
  <si>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</si>
  <si>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</si>
  <si>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</si>
  <si>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</si>
  <si>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</si>
  <si>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</si>
  <si>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</si>
  <si>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</si>
  <si>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</si>
  <si>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</si>
  <si>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</si>
  <si>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</si>
  <si>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</si>
  <si>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</si>
  <si>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</si>
  <si>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</si>
  <si>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</si>
  <si>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</si>
  <si>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</si>
  <si>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</si>
  <si>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</si>
  <si>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</si>
  <si>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</si>
  <si>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</si>
  <si>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</si>
  <si>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</si>
  <si>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</si>
  <si>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</si>
  <si>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</si>
  <si>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</si>
  <si>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</si>
  <si>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</si>
  <si>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</si>
  <si>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</si>
  <si>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</si>
  <si>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</si>
  <si>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</si>
  <si>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</si>
  <si>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</si>
  <si>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</si>
  <si>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</si>
  <si>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</si>
  <si>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</si>
  <si>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</si>
  <si>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</si>
  <si>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</si>
  <si>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</si>
  <si>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</si>
  <si>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</si>
  <si>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</si>
  <si>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</si>
  <si>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</si>
  <si>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</si>
  <si>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</si>
  <si>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</si>
  <si>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</si>
  <si>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</si>
  <si>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</si>
  <si>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</si>
  <si>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</si>
  <si>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</si>
  <si>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</si>
  <si>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</si>
  <si>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</si>
  <si>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</si>
  <si>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</si>
  <si>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</si>
  <si>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</si>
  <si>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</si>
  <si>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</si>
  <si>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</si>
  <si>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</si>
  <si>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</si>
  <si>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</si>
  <si>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</si>
  <si>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</si>
  <si>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</si>
  <si>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</si>
  <si>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</si>
  <si>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</si>
  <si>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</si>
  <si>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</si>
  <si>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</si>
  <si>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</si>
  <si>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</si>
  <si>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</si>
  <si>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</si>
  <si>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</si>
  <si>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</si>
  <si>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</si>
  <si>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</si>
  <si>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</si>
  <si>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</si>
  <si>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</si>
  <si>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</si>
  <si>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</si>
  <si>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</si>
  <si>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</si>
  <si>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</si>
  <si>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</si>
  <si>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</si>
  <si>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</si>
  <si>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</si>
  <si>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</si>
  <si>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</si>
  <si>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</si>
  <si>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</si>
  <si>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</si>
  <si>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</si>
  <si>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</si>
  <si>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</si>
  <si>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</si>
  <si>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</si>
  <si>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</si>
  <si>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</si>
  <si>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</si>
  <si>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</si>
  <si>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</si>
  <si>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</si>
  <si>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</si>
  <si>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</si>
  <si>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</si>
  <si>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</si>
  <si>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</si>
  <si>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</si>
  <si>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</si>
  <si>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</si>
  <si>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</si>
  <si>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</si>
  <si>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</si>
  <si>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</si>
  <si>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</si>
  <si>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</si>
  <si>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</si>
  <si>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</si>
  <si>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</si>
  <si>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</si>
  <si>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</si>
  <si>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</si>
  <si>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</si>
  <si>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</si>
  <si>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</si>
  <si>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</si>
  <si>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</si>
  <si>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</si>
  <si>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</si>
  <si>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</si>
  <si>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</si>
  <si>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</si>
  <si>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</si>
  <si>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</si>
  <si>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</si>
  <si>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</si>
  <si>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</si>
  <si>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</si>
  <si>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</si>
  <si>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</si>
  <si>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</si>
  <si>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</si>
  <si>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</si>
  <si>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</si>
  <si>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</si>
  <si>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</si>
  <si>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</si>
  <si>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</si>
  <si>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</si>
  <si>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</si>
  <si>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</si>
  <si>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</si>
  <si>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</si>
  <si>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</si>
  <si>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</si>
  <si>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</si>
  <si>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</si>
  <si>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</si>
  <si>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</si>
  <si>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</si>
  <si>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</si>
  <si>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</si>
  <si>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</si>
  <si>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</si>
  <si>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</si>
  <si>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</si>
  <si>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</si>
  <si>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</si>
  <si>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</si>
  <si>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</si>
  <si>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</si>
  <si>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</si>
  <si>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</si>
  <si>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</si>
  <si>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</si>
  <si>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</si>
  <si>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</si>
  <si>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</si>
  <si>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</si>
  <si>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</si>
  <si>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</si>
  <si>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</si>
  <si>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</si>
  <si>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</si>
  <si>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</si>
  <si>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</si>
  <si>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</si>
  <si>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</si>
  <si>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</si>
  <si>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</si>
  <si>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</si>
  <si>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</si>
  <si>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</si>
  <si>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</si>
  <si>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</si>
  <si>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</si>
  <si>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</si>
  <si>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</si>
  <si>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</si>
  <si>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</si>
  <si>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</si>
  <si>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</si>
  <si>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</si>
  <si>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</si>
  <si>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</si>
  <si>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</si>
  <si>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</si>
  <si>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</si>
  <si>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</si>
  <si>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</si>
  <si>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</si>
  <si>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</si>
  <si>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</si>
  <si>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</si>
  <si>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</si>
  <si>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</si>
  <si>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</si>
  <si>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</si>
  <si>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</si>
  <si>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</si>
  <si>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</si>
  <si>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</si>
  <si>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</si>
  <si>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</si>
  <si>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</si>
  <si>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</si>
  <si>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</si>
  <si>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</si>
  <si>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</si>
  <si>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</si>
  <si>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</si>
  <si>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</si>
  <si>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</si>
  <si>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</si>
  <si>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</si>
  <si>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</si>
  <si>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</si>
  <si>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</si>
  <si>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</si>
  <si>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</si>
  <si>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</si>
  <si>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</si>
  <si>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</si>
  <si>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</si>
  <si>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</si>
  <si>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</si>
  <si>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</si>
  <si>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</si>
  <si>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</si>
  <si>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</si>
  <si>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</si>
  <si>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</si>
  <si>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</si>
  <si>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</si>
  <si>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</si>
  <si>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</si>
  <si>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</si>
  <si>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</si>
  <si>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</si>
  <si>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</si>
  <si>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</si>
  <si>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</si>
  <si>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</si>
  <si>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</si>
  <si>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</si>
  <si>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</si>
  <si>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</si>
  <si>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</si>
  <si>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</si>
  <si>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</si>
  <si>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</si>
  <si>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</si>
  <si>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</si>
  <si>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</si>
  <si>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</si>
  <si>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</si>
  <si>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</si>
  <si>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</si>
  <si>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</si>
  <si>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</si>
  <si>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</si>
  <si>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</si>
  <si>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</si>
  <si>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</si>
  <si>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</si>
  <si>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</si>
  <si>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</si>
  <si>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</si>
  <si>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</si>
  <si>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</si>
  <si>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</si>
  <si>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</si>
  <si>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</si>
  <si>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</si>
  <si>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</si>
  <si>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</si>
  <si>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</si>
  <si>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</si>
  <si>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</si>
  <si>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</si>
  <si>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</si>
  <si>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</si>
  <si>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</si>
  <si>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</si>
  <si>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</si>
  <si>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</si>
  <si>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</si>
  <si>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</si>
  <si>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</si>
  <si>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</si>
  <si>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</si>
  <si>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</si>
  <si>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</si>
  <si>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</si>
  <si>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</si>
  <si>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</si>
  <si>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</si>
  <si>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</si>
  <si>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</si>
  <si>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</si>
  <si>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</si>
  <si>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</si>
  <si>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</si>
  <si>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</si>
  <si>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</si>
  <si>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</si>
  <si>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</si>
  <si>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</si>
  <si>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</si>
  <si>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</si>
  <si>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</si>
  <si>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</si>
  <si>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</si>
  <si>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</si>
  <si>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</si>
  <si>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</si>
  <si>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</si>
  <si>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</si>
  <si>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</si>
  <si>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</si>
  <si>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</si>
  <si>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</si>
  <si>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</si>
  <si>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</si>
  <si>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</si>
  <si>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</si>
  <si>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</si>
  <si>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</si>
  <si>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</si>
  <si>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</si>
  <si>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</si>
  <si>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</si>
  <si>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</si>
  <si>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</si>
  <si>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</si>
  <si>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</si>
  <si>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</si>
  <si>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</si>
  <si>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</si>
  <si>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</si>
  <si>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</si>
  <si>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</si>
  <si>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</si>
  <si>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</si>
  <si>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</si>
  <si>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</si>
  <si>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</si>
  <si>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</si>
  <si>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</si>
  <si>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</si>
  <si>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</si>
  <si>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</si>
  <si>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</si>
  <si>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</si>
  <si>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</si>
  <si>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</si>
  <si>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</si>
  <si>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</si>
  <si>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</si>
  <si>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</si>
  <si>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</si>
  <si>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</si>
  <si>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</si>
  <si>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</si>
  <si>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</si>
  <si>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</si>
  <si>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</si>
  <si>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</si>
  <si>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</si>
  <si>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</si>
  <si>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</si>
  <si>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</si>
  <si>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</si>
  <si>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</si>
  <si>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</si>
  <si>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</si>
  <si>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</si>
  <si>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</si>
  <si>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</si>
  <si>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</si>
  <si>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</si>
  <si>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</si>
  <si>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</si>
  <si>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</si>
  <si>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</si>
  <si>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</si>
  <si>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</si>
  <si>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</si>
  <si>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</si>
  <si>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</si>
  <si>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</si>
  <si>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</si>
  <si>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</si>
  <si>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</si>
  <si>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</si>
  <si>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</si>
  <si>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</si>
  <si>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</si>
  <si>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</si>
  <si>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</si>
  <si>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</si>
  <si>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</si>
  <si>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</si>
  <si>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</si>
  <si>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</si>
  <si>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</si>
  <si>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</si>
  <si>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</si>
  <si>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</si>
  <si>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</si>
  <si>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</si>
  <si>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</si>
  <si>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</si>
  <si>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</si>
  <si>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</si>
  <si>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</si>
  <si>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</si>
  <si>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</si>
  <si>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</si>
  <si>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</si>
  <si>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</si>
  <si>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</si>
  <si>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</si>
  <si>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</si>
  <si>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</si>
  <si>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</si>
  <si>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</si>
  <si>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</si>
  <si>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</si>
  <si>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</si>
  <si>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C0501</t>
  </si>
  <si>
    <t>C0502</t>
  </si>
  <si>
    <t>C0503</t>
  </si>
  <si>
    <t>C0504</t>
  </si>
  <si>
    <t>C0505</t>
  </si>
  <si>
    <t>C0506</t>
  </si>
  <si>
    <t>C0507</t>
  </si>
  <si>
    <t>C0508</t>
  </si>
  <si>
    <t>C0509</t>
  </si>
  <si>
    <t>C0510</t>
  </si>
  <si>
    <t>C0511</t>
  </si>
  <si>
    <t>C0512</t>
  </si>
  <si>
    <t>C0513</t>
  </si>
  <si>
    <t>C0514</t>
  </si>
  <si>
    <t>C0515</t>
  </si>
  <si>
    <t>C0516</t>
  </si>
  <si>
    <t>C0517</t>
  </si>
  <si>
    <t>C0518</t>
  </si>
  <si>
    <t>C0519</t>
  </si>
  <si>
    <t>C0520</t>
  </si>
  <si>
    <t>C0521</t>
  </si>
  <si>
    <t>C0522</t>
  </si>
  <si>
    <t>C0523</t>
  </si>
  <si>
    <t>C0524</t>
  </si>
  <si>
    <t>C0525</t>
  </si>
  <si>
    <t>C0526</t>
  </si>
  <si>
    <t>C0527</t>
  </si>
  <si>
    <t>C0528</t>
  </si>
  <si>
    <t>C0529</t>
  </si>
  <si>
    <t>C0530</t>
  </si>
  <si>
    <t>C0531</t>
  </si>
  <si>
    <t>C0532</t>
  </si>
  <si>
    <t>C0533</t>
  </si>
  <si>
    <t>C0534</t>
  </si>
  <si>
    <t>C0535</t>
  </si>
  <si>
    <t>C0536</t>
  </si>
  <si>
    <t>C0537</t>
  </si>
  <si>
    <t>C0538</t>
  </si>
  <si>
    <t>C0539</t>
  </si>
  <si>
    <t>C0540</t>
  </si>
  <si>
    <t>C0541</t>
  </si>
  <si>
    <t>C0542</t>
  </si>
  <si>
    <t>C0543</t>
  </si>
  <si>
    <t>C0544</t>
  </si>
  <si>
    <t>C0545</t>
  </si>
  <si>
    <t>C0546</t>
  </si>
  <si>
    <t>C0547</t>
  </si>
  <si>
    <t>C0548</t>
  </si>
  <si>
    <t>C0549</t>
  </si>
  <si>
    <t>C0550</t>
  </si>
  <si>
    <t>C0551</t>
  </si>
  <si>
    <t>C0552</t>
  </si>
  <si>
    <t>C0553</t>
  </si>
  <si>
    <t>C0554</t>
  </si>
  <si>
    <t>C0555</t>
  </si>
  <si>
    <t>C0556</t>
  </si>
  <si>
    <t>C0557</t>
  </si>
  <si>
    <t>C0558</t>
  </si>
  <si>
    <t>C0559</t>
  </si>
  <si>
    <t>C0560</t>
  </si>
  <si>
    <t>C0561</t>
  </si>
  <si>
    <t>C0562</t>
  </si>
  <si>
    <t>C0563</t>
  </si>
  <si>
    <t>C0564</t>
  </si>
  <si>
    <t>C0565</t>
  </si>
  <si>
    <t>C0566</t>
  </si>
  <si>
    <t>C0567</t>
  </si>
  <si>
    <t>C0568</t>
  </si>
  <si>
    <t>C0569</t>
  </si>
  <si>
    <t>C0570</t>
  </si>
  <si>
    <t>C0571</t>
  </si>
  <si>
    <t>C0572</t>
  </si>
  <si>
    <t>C0573</t>
  </si>
  <si>
    <t>C0574</t>
  </si>
  <si>
    <t>C0575</t>
  </si>
  <si>
    <t>C0576</t>
  </si>
  <si>
    <t>C0577</t>
  </si>
  <si>
    <t>C0578</t>
  </si>
  <si>
    <t>C0579</t>
  </si>
  <si>
    <t>C0580</t>
  </si>
  <si>
    <t>C0581</t>
  </si>
  <si>
    <t>C0582</t>
  </si>
  <si>
    <t>C0583</t>
  </si>
  <si>
    <t>C0584</t>
  </si>
  <si>
    <t>C0585</t>
  </si>
  <si>
    <t>C0586</t>
  </si>
  <si>
    <t>C0587</t>
  </si>
  <si>
    <t>C0588</t>
  </si>
  <si>
    <t>C0589</t>
  </si>
  <si>
    <t>C0590</t>
  </si>
  <si>
    <t>C0591</t>
  </si>
  <si>
    <t>C0592</t>
  </si>
  <si>
    <t>C0593</t>
  </si>
  <si>
    <t>C0594</t>
  </si>
  <si>
    <t>C0595</t>
  </si>
  <si>
    <t>C0596</t>
  </si>
  <si>
    <t>C0597</t>
  </si>
  <si>
    <t>C0598</t>
  </si>
  <si>
    <t>C0599</t>
  </si>
  <si>
    <t>C0600</t>
  </si>
  <si>
    <t>C0601</t>
  </si>
  <si>
    <t>C0602</t>
  </si>
  <si>
    <t>C0603</t>
  </si>
  <si>
    <t>C0604</t>
  </si>
  <si>
    <t>C0605</t>
  </si>
  <si>
    <t>C0606</t>
  </si>
  <si>
    <t>C0607</t>
  </si>
  <si>
    <t>C0608</t>
  </si>
  <si>
    <t>C0609</t>
  </si>
  <si>
    <t>C0610</t>
  </si>
  <si>
    <t>C0611</t>
  </si>
  <si>
    <t>C0612</t>
  </si>
  <si>
    <t>C0613</t>
  </si>
  <si>
    <t>C0614</t>
  </si>
  <si>
    <t>C0615</t>
  </si>
  <si>
    <t>C0616</t>
  </si>
  <si>
    <t>C0617</t>
  </si>
  <si>
    <t>C0618</t>
  </si>
  <si>
    <t>C0619</t>
  </si>
  <si>
    <t>C0620</t>
  </si>
  <si>
    <t>C0621</t>
  </si>
  <si>
    <t>C0622</t>
  </si>
  <si>
    <t>C0623</t>
  </si>
  <si>
    <t>C0624</t>
  </si>
  <si>
    <t>C0625</t>
  </si>
  <si>
    <t>C0626</t>
  </si>
  <si>
    <t>C0627</t>
  </si>
  <si>
    <t>C0628</t>
  </si>
  <si>
    <t>C0629</t>
  </si>
  <si>
    <t>C0630</t>
  </si>
  <si>
    <t>C0631</t>
  </si>
  <si>
    <t>C0632</t>
  </si>
  <si>
    <t>C0633</t>
  </si>
  <si>
    <t>C0634</t>
  </si>
  <si>
    <t>C0635</t>
  </si>
  <si>
    <t>C0636</t>
  </si>
  <si>
    <t>C0637</t>
  </si>
  <si>
    <t>C0638</t>
  </si>
  <si>
    <t>C0639</t>
  </si>
  <si>
    <t>C0640</t>
  </si>
  <si>
    <t>C0641</t>
  </si>
  <si>
    <t>C0642</t>
  </si>
  <si>
    <t>C0643</t>
  </si>
  <si>
    <t>C0644</t>
  </si>
  <si>
    <t>C0645</t>
  </si>
  <si>
    <t>C0646</t>
  </si>
  <si>
    <t>C0647</t>
  </si>
  <si>
    <t>C0648</t>
  </si>
  <si>
    <t>C0649</t>
  </si>
  <si>
    <t>C0650</t>
  </si>
  <si>
    <t>C0651</t>
  </si>
  <si>
    <t>C0652</t>
  </si>
  <si>
    <t>C0653</t>
  </si>
  <si>
    <t>C0654</t>
  </si>
  <si>
    <t>C0655</t>
  </si>
  <si>
    <t>C0656</t>
  </si>
  <si>
    <t>C0657</t>
  </si>
  <si>
    <t>C0658</t>
  </si>
  <si>
    <t>C0659</t>
  </si>
  <si>
    <t>C0660</t>
  </si>
  <si>
    <t>C0661</t>
  </si>
  <si>
    <t>C0662</t>
  </si>
  <si>
    <t>C0663</t>
  </si>
  <si>
    <t>C0664</t>
  </si>
  <si>
    <t>C0665</t>
  </si>
  <si>
    <t>C0666</t>
  </si>
  <si>
    <t>C0667</t>
  </si>
  <si>
    <t>C0668</t>
  </si>
  <si>
    <t>C0669</t>
  </si>
  <si>
    <t>C0670</t>
  </si>
  <si>
    <t>C0671</t>
  </si>
  <si>
    <t>C0672</t>
  </si>
  <si>
    <t>C0673</t>
  </si>
  <si>
    <t>C0674</t>
  </si>
  <si>
    <t>C0675</t>
  </si>
  <si>
    <t>C0676</t>
  </si>
  <si>
    <t>C0677</t>
  </si>
  <si>
    <t>C0678</t>
  </si>
  <si>
    <t>C0679</t>
  </si>
  <si>
    <t>C0680</t>
  </si>
  <si>
    <t>C0681</t>
  </si>
  <si>
    <t>C0682</t>
  </si>
  <si>
    <t>C0683</t>
  </si>
  <si>
    <t>C0684</t>
  </si>
  <si>
    <t>C0685</t>
  </si>
  <si>
    <t>C0686</t>
  </si>
  <si>
    <t>C0687</t>
  </si>
  <si>
    <t>C0688</t>
  </si>
  <si>
    <t>C0689</t>
  </si>
  <si>
    <t>C0690</t>
  </si>
  <si>
    <t>C0691</t>
  </si>
  <si>
    <t>C0692</t>
  </si>
  <si>
    <t>C0693</t>
  </si>
  <si>
    <t>C0694</t>
  </si>
  <si>
    <t>C0695</t>
  </si>
  <si>
    <t>C0696</t>
  </si>
  <si>
    <t>C0697</t>
  </si>
  <si>
    <t>C0698</t>
  </si>
  <si>
    <t>C0699</t>
  </si>
  <si>
    <t>C0700</t>
  </si>
  <si>
    <t>C0701</t>
  </si>
  <si>
    <t>C0702</t>
  </si>
  <si>
    <t>C0703</t>
  </si>
  <si>
    <t>C0704</t>
  </si>
  <si>
    <t>C0705</t>
  </si>
  <si>
    <t>C0706</t>
  </si>
  <si>
    <t>C0707</t>
  </si>
  <si>
    <t>C0708</t>
  </si>
  <si>
    <t>C0709</t>
  </si>
  <si>
    <t>C0710</t>
  </si>
  <si>
    <t>C0711</t>
  </si>
  <si>
    <t>C0712</t>
  </si>
  <si>
    <t>C0713</t>
  </si>
  <si>
    <t>C0714</t>
  </si>
  <si>
    <t>C0715</t>
  </si>
  <si>
    <t>C0716</t>
  </si>
  <si>
    <t>C0717</t>
  </si>
  <si>
    <t>C0718</t>
  </si>
  <si>
    <t>C0719</t>
  </si>
  <si>
    <t>C0720</t>
  </si>
  <si>
    <t>C0721</t>
  </si>
  <si>
    <t>C0722</t>
  </si>
  <si>
    <t>C0723</t>
  </si>
  <si>
    <t>C0724</t>
  </si>
  <si>
    <t>C0725</t>
  </si>
  <si>
    <t>C0726</t>
  </si>
  <si>
    <t>C0727</t>
  </si>
  <si>
    <t>C0728</t>
  </si>
  <si>
    <t>C0729</t>
  </si>
  <si>
    <t>C0730</t>
  </si>
  <si>
    <t>C0731</t>
  </si>
  <si>
    <t>C0732</t>
  </si>
  <si>
    <t>C0733</t>
  </si>
  <si>
    <t>C0734</t>
  </si>
  <si>
    <t>C0735</t>
  </si>
  <si>
    <t>C0736</t>
  </si>
  <si>
    <t>C0737</t>
  </si>
  <si>
    <t>C0738</t>
  </si>
  <si>
    <t>C0739</t>
  </si>
  <si>
    <t>C0740</t>
  </si>
  <si>
    <t>C0741</t>
  </si>
  <si>
    <t>C0742</t>
  </si>
  <si>
    <t>C0743</t>
  </si>
  <si>
    <t>C0744</t>
  </si>
  <si>
    <t>C0745</t>
  </si>
  <si>
    <t>C0746</t>
  </si>
  <si>
    <t>C0747</t>
  </si>
  <si>
    <t>C0748</t>
  </si>
  <si>
    <t>C0749</t>
  </si>
  <si>
    <t>C0750</t>
  </si>
  <si>
    <t>C0751</t>
  </si>
  <si>
    <t>C0752</t>
  </si>
  <si>
    <t>C0753</t>
  </si>
  <si>
    <t>C0754</t>
  </si>
  <si>
    <t>C0755</t>
  </si>
  <si>
    <t>C0756</t>
  </si>
  <si>
    <t>C0757</t>
  </si>
  <si>
    <t>C0758</t>
  </si>
  <si>
    <t>C0759</t>
  </si>
  <si>
    <t>C0760</t>
  </si>
  <si>
    <t>C0761</t>
  </si>
  <si>
    <t>C0762</t>
  </si>
  <si>
    <t>C0763</t>
  </si>
  <si>
    <t>C0764</t>
  </si>
  <si>
    <t>C0765</t>
  </si>
  <si>
    <t>C0766</t>
  </si>
  <si>
    <t>C0767</t>
  </si>
  <si>
    <t>C0768</t>
  </si>
  <si>
    <t>C0769</t>
  </si>
  <si>
    <t>C0770</t>
  </si>
  <si>
    <t>C0771</t>
  </si>
  <si>
    <t>C0772</t>
  </si>
  <si>
    <t>C0773</t>
  </si>
  <si>
    <t>C0774</t>
  </si>
  <si>
    <t>C0775</t>
  </si>
  <si>
    <t>C0776</t>
  </si>
  <si>
    <t>C0777</t>
  </si>
  <si>
    <t>C0778</t>
  </si>
  <si>
    <t>C0779</t>
  </si>
  <si>
    <t>C0780</t>
  </si>
  <si>
    <t>C0781</t>
  </si>
  <si>
    <t>C0782</t>
  </si>
  <si>
    <t>C0783</t>
  </si>
  <si>
    <t>C0784</t>
  </si>
  <si>
    <t>C0785</t>
  </si>
  <si>
    <t>C0786</t>
  </si>
  <si>
    <t>C0787</t>
  </si>
  <si>
    <t>C0788</t>
  </si>
  <si>
    <t>C0789</t>
  </si>
  <si>
    <t>C0790</t>
  </si>
  <si>
    <t>C0791</t>
  </si>
  <si>
    <t>C0792</t>
  </si>
  <si>
    <t>C0793</t>
  </si>
  <si>
    <t>C0794</t>
  </si>
  <si>
    <t>C0795</t>
  </si>
  <si>
    <t>C0796</t>
  </si>
  <si>
    <t>C0797</t>
  </si>
  <si>
    <t>C0798</t>
  </si>
  <si>
    <t>C0799</t>
  </si>
  <si>
    <t>C0800</t>
  </si>
  <si>
    <t>C0801</t>
  </si>
  <si>
    <t>C0802</t>
  </si>
  <si>
    <t>C0803</t>
  </si>
  <si>
    <t>C0804</t>
  </si>
  <si>
    <t>C0805</t>
  </si>
  <si>
    <t>C0806</t>
  </si>
  <si>
    <t>C0807</t>
  </si>
  <si>
    <t>C0808</t>
  </si>
  <si>
    <t>C0809</t>
  </si>
  <si>
    <t>C0810</t>
  </si>
  <si>
    <t>C0811</t>
  </si>
  <si>
    <t>C0812</t>
  </si>
  <si>
    <t>C0813</t>
  </si>
  <si>
    <t>C0814</t>
  </si>
  <si>
    <t>C0815</t>
  </si>
  <si>
    <t>C0816</t>
  </si>
  <si>
    <t>C0817</t>
  </si>
  <si>
    <t>C0818</t>
  </si>
  <si>
    <t>C0819</t>
  </si>
  <si>
    <t>C0820</t>
  </si>
  <si>
    <t>C0821</t>
  </si>
  <si>
    <t>C0822</t>
  </si>
  <si>
    <t>C0823</t>
  </si>
  <si>
    <t>C0824</t>
  </si>
  <si>
    <t>C0825</t>
  </si>
  <si>
    <t>C0826</t>
  </si>
  <si>
    <t>C0827</t>
  </si>
  <si>
    <t>C0828</t>
  </si>
  <si>
    <t>C0829</t>
  </si>
  <si>
    <t>C0830</t>
  </si>
  <si>
    <t>C0831</t>
  </si>
  <si>
    <t>C0832</t>
  </si>
  <si>
    <t>C0833</t>
  </si>
  <si>
    <t>C0834</t>
  </si>
  <si>
    <t>C0835</t>
  </si>
  <si>
    <t>C0836</t>
  </si>
  <si>
    <t>C0837</t>
  </si>
  <si>
    <t>C0838</t>
  </si>
  <si>
    <t>C0839</t>
  </si>
  <si>
    <t>C0840</t>
  </si>
  <si>
    <t>C0841</t>
  </si>
  <si>
    <t>C0842</t>
  </si>
  <si>
    <t>C0843</t>
  </si>
  <si>
    <t>C0844</t>
  </si>
  <si>
    <t>C0845</t>
  </si>
  <si>
    <t>C0846</t>
  </si>
  <si>
    <t>C0847</t>
  </si>
  <si>
    <t>C0848</t>
  </si>
  <si>
    <t>C0849</t>
  </si>
  <si>
    <t>C0850</t>
  </si>
  <si>
    <t>C0851</t>
  </si>
  <si>
    <t>C0852</t>
  </si>
  <si>
    <t>C0853</t>
  </si>
  <si>
    <t>C0854</t>
  </si>
  <si>
    <t>C0855</t>
  </si>
  <si>
    <t>C0856</t>
  </si>
  <si>
    <t>C0857</t>
  </si>
  <si>
    <t>C0858</t>
  </si>
  <si>
    <t>C0859</t>
  </si>
  <si>
    <t>C0860</t>
  </si>
  <si>
    <t>C0861</t>
  </si>
  <si>
    <t>C0862</t>
  </si>
  <si>
    <t>C0863</t>
  </si>
  <si>
    <t>C0864</t>
  </si>
  <si>
    <t>C0865</t>
  </si>
  <si>
    <t>C0866</t>
  </si>
  <si>
    <t>C0867</t>
  </si>
  <si>
    <t>C0868</t>
  </si>
  <si>
    <t>C0869</t>
  </si>
  <si>
    <t>C0870</t>
  </si>
  <si>
    <t>C0871</t>
  </si>
  <si>
    <t>C0872</t>
  </si>
  <si>
    <t>C0873</t>
  </si>
  <si>
    <t>C0874</t>
  </si>
  <si>
    <t>C0875</t>
  </si>
  <si>
    <t>C0876</t>
  </si>
  <si>
    <t>C0877</t>
  </si>
  <si>
    <t>C0878</t>
  </si>
  <si>
    <t>C0879</t>
  </si>
  <si>
    <t>C0880</t>
  </si>
  <si>
    <t>C0881</t>
  </si>
  <si>
    <t>C0882</t>
  </si>
  <si>
    <t>C0883</t>
  </si>
  <si>
    <t>C0884</t>
  </si>
  <si>
    <t>C0885</t>
  </si>
  <si>
    <t>C0886</t>
  </si>
  <si>
    <t>C0887</t>
  </si>
  <si>
    <t>C0888</t>
  </si>
  <si>
    <t>C0889</t>
  </si>
  <si>
    <t>C0890</t>
  </si>
  <si>
    <t>C0891</t>
  </si>
  <si>
    <t>C0892</t>
  </si>
  <si>
    <t>C0893</t>
  </si>
  <si>
    <t>C0894</t>
  </si>
  <si>
    <t>C0895</t>
  </si>
  <si>
    <t>C0896</t>
  </si>
  <si>
    <t>C0897</t>
  </si>
  <si>
    <t>C0898</t>
  </si>
  <si>
    <t>C0899</t>
  </si>
  <si>
    <t>C0900</t>
  </si>
  <si>
    <t>C0901</t>
  </si>
  <si>
    <t>C0902</t>
  </si>
  <si>
    <t>C0903</t>
  </si>
  <si>
    <t>C0904</t>
  </si>
  <si>
    <t>C0905</t>
  </si>
  <si>
    <t>C0906</t>
  </si>
  <si>
    <t>C0907</t>
  </si>
  <si>
    <t>C0908</t>
  </si>
  <si>
    <t>C0909</t>
  </si>
  <si>
    <t>C0910</t>
  </si>
  <si>
    <t>C0911</t>
  </si>
  <si>
    <t>C0912</t>
  </si>
  <si>
    <t>C0913</t>
  </si>
  <si>
    <t>C0914</t>
  </si>
  <si>
    <t>C0915</t>
  </si>
  <si>
    <t>C0916</t>
  </si>
  <si>
    <t>C0917</t>
  </si>
  <si>
    <t>C0918</t>
  </si>
  <si>
    <t>C0919</t>
  </si>
  <si>
    <t>C0920</t>
  </si>
  <si>
    <t>C0921</t>
  </si>
  <si>
    <t>C0922</t>
  </si>
  <si>
    <t>C0923</t>
  </si>
  <si>
    <t>C0924</t>
  </si>
  <si>
    <t>C0925</t>
  </si>
  <si>
    <t>C0926</t>
  </si>
  <si>
    <t>C0927</t>
  </si>
  <si>
    <t>C0928</t>
  </si>
  <si>
    <t>C0929</t>
  </si>
  <si>
    <t>C0930</t>
  </si>
  <si>
    <t>C0931</t>
  </si>
  <si>
    <t>C0932</t>
  </si>
  <si>
    <t>C0933</t>
  </si>
  <si>
    <t>C0934</t>
  </si>
  <si>
    <t>C0935</t>
  </si>
  <si>
    <t>C0936</t>
  </si>
  <si>
    <t>C0937</t>
  </si>
  <si>
    <t>C0938</t>
  </si>
  <si>
    <t>C0939</t>
  </si>
  <si>
    <t>C0940</t>
  </si>
  <si>
    <t>C0941</t>
  </si>
  <si>
    <t>C0942</t>
  </si>
  <si>
    <t>C0943</t>
  </si>
  <si>
    <t>C0944</t>
  </si>
  <si>
    <t>C0945</t>
  </si>
  <si>
    <t>C0946</t>
  </si>
  <si>
    <t>C0947</t>
  </si>
  <si>
    <t>C0948</t>
  </si>
  <si>
    <t>C0949</t>
  </si>
  <si>
    <t>C0950</t>
  </si>
  <si>
    <t>C0951</t>
  </si>
  <si>
    <t>C0952</t>
  </si>
  <si>
    <t>C0953</t>
  </si>
  <si>
    <t>C0954</t>
  </si>
  <si>
    <t>C0955</t>
  </si>
  <si>
    <t>C0956</t>
  </si>
  <si>
    <t>C0957</t>
  </si>
  <si>
    <t>C0958</t>
  </si>
  <si>
    <t>C0959</t>
  </si>
  <si>
    <t>C0960</t>
  </si>
  <si>
    <t>C0961</t>
  </si>
  <si>
    <t>C0962</t>
  </si>
  <si>
    <t>C0963</t>
  </si>
  <si>
    <t>C0964</t>
  </si>
  <si>
    <t>C0965</t>
  </si>
  <si>
    <t>C0966</t>
  </si>
  <si>
    <t>C0967</t>
  </si>
  <si>
    <t>C0968</t>
  </si>
  <si>
    <t>C0969</t>
  </si>
  <si>
    <t>C0970</t>
  </si>
  <si>
    <t>C0971</t>
  </si>
  <si>
    <t>C0972</t>
  </si>
  <si>
    <t>C0973</t>
  </si>
  <si>
    <t>C0974</t>
  </si>
  <si>
    <t>C0975</t>
  </si>
  <si>
    <t>C0976</t>
  </si>
  <si>
    <t>C0977</t>
  </si>
  <si>
    <t>C0978</t>
  </si>
  <si>
    <t>C0979</t>
  </si>
  <si>
    <t>C0980</t>
  </si>
  <si>
    <t>C0981</t>
  </si>
  <si>
    <t>C0982</t>
  </si>
  <si>
    <t>C0983</t>
  </si>
  <si>
    <t>C0984</t>
  </si>
  <si>
    <t>C0985</t>
  </si>
  <si>
    <t>C0986</t>
  </si>
  <si>
    <t>C0987</t>
  </si>
  <si>
    <t>C0988</t>
  </si>
  <si>
    <t>C0989</t>
  </si>
  <si>
    <t>C0990</t>
  </si>
  <si>
    <t>C0991</t>
  </si>
  <si>
    <t>C0992</t>
  </si>
  <si>
    <t>C0993</t>
  </si>
  <si>
    <t>C0994</t>
  </si>
  <si>
    <t>C0995</t>
  </si>
  <si>
    <t>C0996</t>
  </si>
  <si>
    <t>C0997</t>
  </si>
  <si>
    <t>C0998</t>
  </si>
  <si>
    <t>C0999</t>
  </si>
  <si>
    <t>C1000</t>
  </si>
  <si>
    <t>Count of Customer_ID</t>
  </si>
  <si>
    <t>Total Bookings</t>
  </si>
  <si>
    <t>Sum of Final_Price</t>
  </si>
  <si>
    <t>Total Revenue</t>
  </si>
  <si>
    <t>Count of Finance</t>
  </si>
  <si>
    <t>Row Labels</t>
  </si>
  <si>
    <t>Grand Total</t>
  </si>
  <si>
    <t>Average of Final_Price</t>
  </si>
  <si>
    <t>Average of Customer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</si>
</sst>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0" fontId="0" fillId="0" borderId="0" xfId="0" pivotButton="1"/>
    <xf numFmtId="2" fontId="0" fillId="0" borderId="0" xfId="0" applyNumberFormat="1"/>
    <xf numFmtId="0" fontId="0" fillId="0" borderId="0" xfId="0" applyAlignment="1">
      <alignment horizontal="left"/>
    </xf>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Bookings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KPI!$B$8</c:f>
              <c:strCache>
                <c:ptCount val="1"/>
                <c:pt idx="0">
                  <c:v>Total</c:v>
                </c:pt>
              </c:strCache>
            </c:strRef>
          </c:tx>
          <c:spPr>
            <a:solidFill>
              <a:schemeClr val="accent1"/>
            </a:solidFill>
            <a:ln>
              <a:noFill/>
            </a:ln>
            <a:effectLst/>
          </c:spPr>
          <c:invertIfNegative val="0"/>
          <c:cat>
            <c:strRef>
              <c:f>KPI!$A$9:$A$15</c:f>
              <c:strCache>
                <c:ptCount val="6"/>
                <c:pt idx="0">
                  <c:v>Bengaluru</c:v>
                </c:pt>
                <c:pt idx="1">
                  <c:v>Chennai</c:v>
                </c:pt>
                <c:pt idx="2">
                  <c:v>Coimbatore</c:v>
                </c:pt>
                <c:pt idx="3">
                  <c:v>Hyderabad</c:v>
                </c:pt>
                <c:pt idx="4">
                  <c:v>Madurai</c:v>
                </c:pt>
                <c:pt idx="5">
                  <c:v>Pune</c:v>
                </c:pt>
              </c:strCache>
            </c:strRef>
          </c:cat>
          <c:val>
            <c:numRef>
              <c:f>KPI!$B$9:$B$15</c:f>
              <c:numCache>
                <c:formatCode>General</c:formatCode>
                <c:ptCount val="6"/>
                <c:pt idx="0">
                  <c:v>170</c:v>
                </c:pt>
                <c:pt idx="1">
                  <c:v>175</c:v>
                </c:pt>
                <c:pt idx="2">
                  <c:v>162</c:v>
                </c:pt>
                <c:pt idx="3">
                  <c:v>171</c:v>
                </c:pt>
                <c:pt idx="4">
                  <c:v>155</c:v>
                </c:pt>
                <c:pt idx="5">
                  <c:v>167</c:v>
                </c:pt>
              </c:numCache>
            </c:numRef>
          </c:val>
          <c:extLst>
            <c:ext xmlns:c16="http://schemas.microsoft.com/office/drawing/2014/chart" uri="{C3380CC4-5D6E-409C-BE32-E72D297353CC}">
              <c16:uniqueId val="{00000000-BBE1-427A-AB3B-5C99A247FCC6}"/>
            </c:ext>
          </c:extLst>
        </c:ser>
        <c:dLbls>
          <c:showLegendKey val="0"/>
          <c:showVal val="0"/>
          <c:showCatName val="0"/>
          <c:showSerName val="0"/>
          <c:showPercent val="0"/>
          <c:showBubbleSize val="0"/>
        </c:dLbls>
        <c:gapWidth val="182"/>
        <c:axId val="1134480735"/>
        <c:axId val="1134476415"/>
      </c:barChart>
      <c:catAx>
        <c:axId val="113448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76415"/>
        <c:crosses val="autoZero"/>
        <c:auto val="1"/>
        <c:lblAlgn val="ctr"/>
        <c:lblOffset val="100"/>
        <c:noMultiLvlLbl val="0"/>
      </c:catAx>
      <c:valAx>
        <c:axId val="1134476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8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Thar Variant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KPI!$B$18</c:f>
              <c:strCache>
                <c:ptCount val="1"/>
                <c:pt idx="0">
                  <c:v>Total</c:v>
                </c:pt>
              </c:strCache>
            </c:strRef>
          </c:tx>
          <c:spPr>
            <a:solidFill>
              <a:schemeClr val="accent1"/>
            </a:solidFill>
            <a:ln>
              <a:noFill/>
            </a:ln>
            <a:effectLst/>
          </c:spPr>
          <c:invertIfNegative val="0"/>
          <c:cat>
            <c:strRef>
              <c:f>KPI!$A$19:$A$22</c:f>
              <c:strCache>
                <c:ptCount val="3"/>
                <c:pt idx="0">
                  <c:v>AX(O)</c:v>
                </c:pt>
                <c:pt idx="1">
                  <c:v>Earth</c:v>
                </c:pt>
                <c:pt idx="2">
                  <c:v>LX</c:v>
                </c:pt>
              </c:strCache>
            </c:strRef>
          </c:cat>
          <c:val>
            <c:numRef>
              <c:f>KPI!$B$19:$B$22</c:f>
              <c:numCache>
                <c:formatCode>General</c:formatCode>
                <c:ptCount val="3"/>
                <c:pt idx="0">
                  <c:v>638241738</c:v>
                </c:pt>
                <c:pt idx="1">
                  <c:v>289828093</c:v>
                </c:pt>
                <c:pt idx="2">
                  <c:v>618730973</c:v>
                </c:pt>
              </c:numCache>
            </c:numRef>
          </c:val>
          <c:extLst>
            <c:ext xmlns:c16="http://schemas.microsoft.com/office/drawing/2014/chart" uri="{C3380CC4-5D6E-409C-BE32-E72D297353CC}">
              <c16:uniqueId val="{00000000-E8EB-4BB9-B3C2-FEAB345ED0E1}"/>
            </c:ext>
          </c:extLst>
        </c:ser>
        <c:dLbls>
          <c:showLegendKey val="0"/>
          <c:showVal val="0"/>
          <c:showCatName val="0"/>
          <c:showSerName val="0"/>
          <c:showPercent val="0"/>
          <c:showBubbleSize val="0"/>
        </c:dLbls>
        <c:gapWidth val="219"/>
        <c:overlap val="-27"/>
        <c:axId val="1365357663"/>
        <c:axId val="1365362463"/>
      </c:barChart>
      <c:catAx>
        <c:axId val="136535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62463"/>
        <c:crosses val="autoZero"/>
        <c:auto val="1"/>
        <c:lblAlgn val="ctr"/>
        <c:lblOffset val="100"/>
        <c:noMultiLvlLbl val="0"/>
      </c:catAx>
      <c:valAx>
        <c:axId val="136536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5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Delivery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KPI!$B$25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KPI!$A$26:$A$29</c:f>
              <c:strCache>
                <c:ptCount val="3"/>
                <c:pt idx="0">
                  <c:v>Delayed</c:v>
                </c:pt>
                <c:pt idx="1">
                  <c:v>Delivered</c:v>
                </c:pt>
                <c:pt idx="2">
                  <c:v>In Transit</c:v>
                </c:pt>
              </c:strCache>
            </c:strRef>
          </c:cat>
          <c:val>
            <c:numRef>
              <c:f>KPI!$B$26:$B$29</c:f>
              <c:numCache>
                <c:formatCode>General</c:formatCode>
                <c:ptCount val="3"/>
                <c:pt idx="0">
                  <c:v>661</c:v>
                </c:pt>
                <c:pt idx="1">
                  <c:v>94</c:v>
                </c:pt>
                <c:pt idx="2">
                  <c:v>245</c:v>
                </c:pt>
              </c:numCache>
            </c:numRef>
          </c:val>
          <c:extLst>
            <c:ext xmlns:c16="http://schemas.microsoft.com/office/drawing/2014/chart" uri="{C3380CC4-5D6E-409C-BE32-E72D297353CC}">
              <c16:uniqueId val="{00000000-1A52-4154-997F-394E634D47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Mode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KPI!$B$32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KPI!$A$33:$A$38</c:f>
              <c:strCache>
                <c:ptCount val="5"/>
                <c:pt idx="0">
                  <c:v>Cash</c:v>
                </c:pt>
                <c:pt idx="1">
                  <c:v>Credit Card</c:v>
                </c:pt>
                <c:pt idx="2">
                  <c:v>Loan</c:v>
                </c:pt>
                <c:pt idx="3">
                  <c:v>NEFT</c:v>
                </c:pt>
                <c:pt idx="4">
                  <c:v>UPI</c:v>
                </c:pt>
              </c:strCache>
            </c:strRef>
          </c:cat>
          <c:val>
            <c:numRef>
              <c:f>KPI!$B$33:$B$38</c:f>
              <c:numCache>
                <c:formatCode>General</c:formatCode>
                <c:ptCount val="5"/>
                <c:pt idx="0">
                  <c:v>193</c:v>
                </c:pt>
                <c:pt idx="1">
                  <c:v>213</c:v>
                </c:pt>
                <c:pt idx="2">
                  <c:v>206</c:v>
                </c:pt>
                <c:pt idx="3">
                  <c:v>214</c:v>
                </c:pt>
                <c:pt idx="4">
                  <c:v>174</c:v>
                </c:pt>
              </c:numCache>
            </c:numRef>
          </c:val>
          <c:extLst>
            <c:ext xmlns:c16="http://schemas.microsoft.com/office/drawing/2014/chart" uri="{C3380CC4-5D6E-409C-BE32-E72D297353CC}">
              <c16:uniqueId val="{00000000-7702-47BC-8F04-F7789D09FC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Fuel Type Preference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84033416056457"/>
          <c:y val="0.22540261318748103"/>
          <c:w val="0.43157309616453587"/>
          <c:h val="0.70774840474020051"/>
        </c:manualLayout>
      </c:layout>
      <c:doughnutChart>
        <c:varyColors val="1"/>
        <c:ser>
          <c:idx val="0"/>
          <c:order val="0"/>
          <c:tx>
            <c:strRef>
              <c:f>KPI!$B$41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KPI!$A$42:$A$44</c:f>
              <c:strCache>
                <c:ptCount val="2"/>
                <c:pt idx="0">
                  <c:v>Diesel</c:v>
                </c:pt>
                <c:pt idx="1">
                  <c:v>Petrol</c:v>
                </c:pt>
              </c:strCache>
            </c:strRef>
          </c:cat>
          <c:val>
            <c:numRef>
              <c:f>KPI!$B$42:$B$44</c:f>
              <c:numCache>
                <c:formatCode>General</c:formatCode>
                <c:ptCount val="2"/>
                <c:pt idx="0">
                  <c:v>496</c:v>
                </c:pt>
                <c:pt idx="1">
                  <c:v>504</c:v>
                </c:pt>
              </c:numCache>
            </c:numRef>
          </c:val>
          <c:extLst>
            <c:ext xmlns:c16="http://schemas.microsoft.com/office/drawing/2014/chart" uri="{C3380CC4-5D6E-409C-BE32-E72D297353CC}">
              <c16:uniqueId val="{00000000-64DD-4453-BDBA-94C3B6C98C2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Executive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KPI!$B$47</c:f>
              <c:strCache>
                <c:ptCount val="1"/>
                <c:pt idx="0">
                  <c:v>Total</c:v>
                </c:pt>
              </c:strCache>
            </c:strRef>
          </c:tx>
          <c:spPr>
            <a:solidFill>
              <a:schemeClr val="accent1"/>
            </a:solidFill>
            <a:ln>
              <a:noFill/>
            </a:ln>
            <a:effectLst/>
          </c:spPr>
          <c:invertIfNegative val="0"/>
          <c:cat>
            <c:strRef>
              <c:f>KPI!$A$48:$A$53</c:f>
              <c:strCache>
                <c:ptCount val="5"/>
                <c:pt idx="0">
                  <c:v>A Kumar</c:v>
                </c:pt>
                <c:pt idx="1">
                  <c:v>K Deepak</c:v>
                </c:pt>
                <c:pt idx="2">
                  <c:v>Nisha</c:v>
                </c:pt>
                <c:pt idx="3">
                  <c:v>R Mohan</c:v>
                </c:pt>
                <c:pt idx="4">
                  <c:v>S Priya</c:v>
                </c:pt>
              </c:strCache>
            </c:strRef>
          </c:cat>
          <c:val>
            <c:numRef>
              <c:f>KPI!$B$48:$B$53</c:f>
              <c:numCache>
                <c:formatCode>General</c:formatCode>
                <c:ptCount val="5"/>
                <c:pt idx="0">
                  <c:v>296461808</c:v>
                </c:pt>
                <c:pt idx="1">
                  <c:v>323667382</c:v>
                </c:pt>
                <c:pt idx="2">
                  <c:v>348807003</c:v>
                </c:pt>
                <c:pt idx="3">
                  <c:v>304455094</c:v>
                </c:pt>
                <c:pt idx="4">
                  <c:v>273409517</c:v>
                </c:pt>
              </c:numCache>
            </c:numRef>
          </c:val>
          <c:extLst>
            <c:ext xmlns:c16="http://schemas.microsoft.com/office/drawing/2014/chart" uri="{C3380CC4-5D6E-409C-BE32-E72D297353CC}">
              <c16:uniqueId val="{00000000-C3F4-4D88-A441-25F0D84482DD}"/>
            </c:ext>
          </c:extLst>
        </c:ser>
        <c:dLbls>
          <c:showLegendKey val="0"/>
          <c:showVal val="0"/>
          <c:showCatName val="0"/>
          <c:showSerName val="0"/>
          <c:showPercent val="0"/>
          <c:showBubbleSize val="0"/>
        </c:dLbls>
        <c:gapWidth val="150"/>
        <c:axId val="1365383103"/>
        <c:axId val="1365379263"/>
      </c:barChart>
      <c:catAx>
        <c:axId val="136538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79263"/>
        <c:crosses val="autoZero"/>
        <c:auto val="1"/>
        <c:lblAlgn val="ctr"/>
        <c:lblOffset val="100"/>
        <c:noMultiLvlLbl val="0"/>
      </c:catAx>
      <c:valAx>
        <c:axId val="136537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8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Vehicle Color Preference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KPI!$B$56</c:f>
              <c:strCache>
                <c:ptCount val="1"/>
                <c:pt idx="0">
                  <c:v>Total</c:v>
                </c:pt>
              </c:strCache>
            </c:strRef>
          </c:tx>
          <c:spPr>
            <a:solidFill>
              <a:schemeClr val="accent1"/>
            </a:solidFill>
            <a:ln>
              <a:noFill/>
            </a:ln>
            <a:effectLst/>
            <a:sp3d/>
          </c:spPr>
          <c:invertIfNegative val="0"/>
          <c:cat>
            <c:strRef>
              <c:f>KPI!$A$57:$A$62</c:f>
              <c:strCache>
                <c:ptCount val="5"/>
                <c:pt idx="0">
                  <c:v>Black</c:v>
                </c:pt>
                <c:pt idx="1">
                  <c:v>Green</c:v>
                </c:pt>
                <c:pt idx="2">
                  <c:v>Grey</c:v>
                </c:pt>
                <c:pt idx="3">
                  <c:v>Red</c:v>
                </c:pt>
                <c:pt idx="4">
                  <c:v>White</c:v>
                </c:pt>
              </c:strCache>
            </c:strRef>
          </c:cat>
          <c:val>
            <c:numRef>
              <c:f>KPI!$B$57:$B$62</c:f>
              <c:numCache>
                <c:formatCode>General</c:formatCode>
                <c:ptCount val="5"/>
                <c:pt idx="0">
                  <c:v>191</c:v>
                </c:pt>
                <c:pt idx="1">
                  <c:v>195</c:v>
                </c:pt>
                <c:pt idx="2">
                  <c:v>201</c:v>
                </c:pt>
                <c:pt idx="3">
                  <c:v>198</c:v>
                </c:pt>
                <c:pt idx="4">
                  <c:v>215</c:v>
                </c:pt>
              </c:numCache>
            </c:numRef>
          </c:val>
          <c:extLst>
            <c:ext xmlns:c16="http://schemas.microsoft.com/office/drawing/2014/chart" uri="{C3380CC4-5D6E-409C-BE32-E72D297353CC}">
              <c16:uniqueId val="{00000000-C881-4913-82E9-998E6CE9BDCE}"/>
            </c:ext>
          </c:extLst>
        </c:ser>
        <c:dLbls>
          <c:showLegendKey val="0"/>
          <c:showVal val="0"/>
          <c:showCatName val="0"/>
          <c:showSerName val="0"/>
          <c:showPercent val="0"/>
          <c:showBubbleSize val="0"/>
        </c:dLbls>
        <c:gapWidth val="150"/>
        <c:shape val="box"/>
        <c:axId val="664486367"/>
        <c:axId val="664472927"/>
        <c:axId val="0"/>
      </c:bar3DChart>
      <c:catAx>
        <c:axId val="664486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72927"/>
        <c:crosses val="autoZero"/>
        <c:auto val="1"/>
        <c:lblAlgn val="ctr"/>
        <c:lblOffset val="100"/>
        <c:noMultiLvlLbl val="0"/>
      </c:catAx>
      <c:valAx>
        <c:axId val="66447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8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Bookings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KPI!$B$8</c:f>
              <c:strCache>
                <c:ptCount val="1"/>
                <c:pt idx="0">
                  <c:v>Total</c:v>
                </c:pt>
              </c:strCache>
            </c:strRef>
          </c:tx>
          <c:spPr>
            <a:solidFill>
              <a:schemeClr val="accent1"/>
            </a:solidFill>
            <a:ln>
              <a:noFill/>
            </a:ln>
            <a:effectLst/>
          </c:spPr>
          <c:invertIfNegative val="0"/>
          <c:cat>
            <c:strRef>
              <c:f>KPI!$A$9:$A$15</c:f>
              <c:strCache>
                <c:ptCount val="6"/>
                <c:pt idx="0">
                  <c:v>Bengaluru</c:v>
                </c:pt>
                <c:pt idx="1">
                  <c:v>Chennai</c:v>
                </c:pt>
                <c:pt idx="2">
                  <c:v>Coimbatore</c:v>
                </c:pt>
                <c:pt idx="3">
                  <c:v>Hyderabad</c:v>
                </c:pt>
                <c:pt idx="4">
                  <c:v>Madurai</c:v>
                </c:pt>
                <c:pt idx="5">
                  <c:v>Pune</c:v>
                </c:pt>
              </c:strCache>
            </c:strRef>
          </c:cat>
          <c:val>
            <c:numRef>
              <c:f>KPI!$B$9:$B$15</c:f>
              <c:numCache>
                <c:formatCode>General</c:formatCode>
                <c:ptCount val="6"/>
                <c:pt idx="0">
                  <c:v>170</c:v>
                </c:pt>
                <c:pt idx="1">
                  <c:v>175</c:v>
                </c:pt>
                <c:pt idx="2">
                  <c:v>162</c:v>
                </c:pt>
                <c:pt idx="3">
                  <c:v>171</c:v>
                </c:pt>
                <c:pt idx="4">
                  <c:v>155</c:v>
                </c:pt>
                <c:pt idx="5">
                  <c:v>167</c:v>
                </c:pt>
              </c:numCache>
            </c:numRef>
          </c:val>
          <c:extLst>
            <c:ext xmlns:c16="http://schemas.microsoft.com/office/drawing/2014/chart" uri="{C3380CC4-5D6E-409C-BE32-E72D297353CC}">
              <c16:uniqueId val="{00000000-395A-431E-AAF6-EF022FFB7DCA}"/>
            </c:ext>
          </c:extLst>
        </c:ser>
        <c:dLbls>
          <c:showLegendKey val="0"/>
          <c:showVal val="0"/>
          <c:showCatName val="0"/>
          <c:showSerName val="0"/>
          <c:showPercent val="0"/>
          <c:showBubbleSize val="0"/>
        </c:dLbls>
        <c:gapWidth val="182"/>
        <c:axId val="1134480735"/>
        <c:axId val="1134476415"/>
      </c:barChart>
      <c:catAx>
        <c:axId val="113448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76415"/>
        <c:crosses val="autoZero"/>
        <c:auto val="1"/>
        <c:lblAlgn val="ctr"/>
        <c:lblOffset val="100"/>
        <c:noMultiLvlLbl val="0"/>
      </c:catAx>
      <c:valAx>
        <c:axId val="1134476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8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Delivery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2993444265448761"/>
          <c:y val="0.21138977209236579"/>
          <c:w val="0.51417633095016191"/>
          <c:h val="0.7259171167451639"/>
        </c:manualLayout>
      </c:layout>
      <c:doughnutChart>
        <c:varyColors val="1"/>
        <c:ser>
          <c:idx val="0"/>
          <c:order val="0"/>
          <c:tx>
            <c:strRef>
              <c:f>KPI!$B$25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FA-4D21-8C07-6FE5E16945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FA-4D21-8C07-6FE5E16945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FA-4D21-8C07-6FE5E16945CF}"/>
              </c:ext>
            </c:extLst>
          </c:dPt>
          <c:cat>
            <c:strRef>
              <c:f>KPI!$A$26:$A$29</c:f>
              <c:strCache>
                <c:ptCount val="3"/>
                <c:pt idx="0">
                  <c:v>Delayed</c:v>
                </c:pt>
                <c:pt idx="1">
                  <c:v>Delivered</c:v>
                </c:pt>
                <c:pt idx="2">
                  <c:v>In Transit</c:v>
                </c:pt>
              </c:strCache>
            </c:strRef>
          </c:cat>
          <c:val>
            <c:numRef>
              <c:f>KPI!$B$26:$B$29</c:f>
              <c:numCache>
                <c:formatCode>General</c:formatCode>
                <c:ptCount val="3"/>
                <c:pt idx="0">
                  <c:v>661</c:v>
                </c:pt>
                <c:pt idx="1">
                  <c:v>94</c:v>
                </c:pt>
                <c:pt idx="2">
                  <c:v>245</c:v>
                </c:pt>
              </c:numCache>
            </c:numRef>
          </c:val>
          <c:extLst>
            <c:ext xmlns:c16="http://schemas.microsoft.com/office/drawing/2014/chart" uri="{C3380CC4-5D6E-409C-BE32-E72D297353CC}">
              <c16:uniqueId val="{00000006-EDFA-4D21-8C07-6FE5E16945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Mode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KPI!$B$32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3E-4A4E-9EB1-67275A1C05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3E-4A4E-9EB1-67275A1C05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3E-4A4E-9EB1-67275A1C05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3E-4A4E-9EB1-67275A1C05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3E-4A4E-9EB1-67275A1C05B6}"/>
              </c:ext>
            </c:extLst>
          </c:dPt>
          <c:cat>
            <c:strRef>
              <c:f>KPI!$A$33:$A$38</c:f>
              <c:strCache>
                <c:ptCount val="5"/>
                <c:pt idx="0">
                  <c:v>Cash</c:v>
                </c:pt>
                <c:pt idx="1">
                  <c:v>Credit Card</c:v>
                </c:pt>
                <c:pt idx="2">
                  <c:v>Loan</c:v>
                </c:pt>
                <c:pt idx="3">
                  <c:v>NEFT</c:v>
                </c:pt>
                <c:pt idx="4">
                  <c:v>UPI</c:v>
                </c:pt>
              </c:strCache>
            </c:strRef>
          </c:cat>
          <c:val>
            <c:numRef>
              <c:f>KPI!$B$33:$B$38</c:f>
              <c:numCache>
                <c:formatCode>General</c:formatCode>
                <c:ptCount val="5"/>
                <c:pt idx="0">
                  <c:v>193</c:v>
                </c:pt>
                <c:pt idx="1">
                  <c:v>213</c:v>
                </c:pt>
                <c:pt idx="2">
                  <c:v>206</c:v>
                </c:pt>
                <c:pt idx="3">
                  <c:v>214</c:v>
                </c:pt>
                <c:pt idx="4">
                  <c:v>174</c:v>
                </c:pt>
              </c:numCache>
            </c:numRef>
          </c:val>
          <c:extLst>
            <c:ext xmlns:c16="http://schemas.microsoft.com/office/drawing/2014/chart" uri="{C3380CC4-5D6E-409C-BE32-E72D297353CC}">
              <c16:uniqueId val="{0000000A-333E-4A4E-9EB1-67275A1C05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Fuel Type Preference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0184033416056457"/>
          <c:y val="0.22540261318748103"/>
          <c:w val="0.43157309616453587"/>
          <c:h val="0.70774840474020051"/>
        </c:manualLayout>
      </c:layout>
      <c:doughnutChart>
        <c:varyColors val="1"/>
        <c:ser>
          <c:idx val="0"/>
          <c:order val="0"/>
          <c:tx>
            <c:strRef>
              <c:f>KPI!$B$41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72-43E0-A1F8-AAFFFF9547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72-43E0-A1F8-AAFFFF95475A}"/>
              </c:ext>
            </c:extLst>
          </c:dPt>
          <c:cat>
            <c:strRef>
              <c:f>KPI!$A$42:$A$44</c:f>
              <c:strCache>
                <c:ptCount val="2"/>
                <c:pt idx="0">
                  <c:v>Diesel</c:v>
                </c:pt>
                <c:pt idx="1">
                  <c:v>Petrol</c:v>
                </c:pt>
              </c:strCache>
            </c:strRef>
          </c:cat>
          <c:val>
            <c:numRef>
              <c:f>KPI!$B$42:$B$44</c:f>
              <c:numCache>
                <c:formatCode>General</c:formatCode>
                <c:ptCount val="2"/>
                <c:pt idx="0">
                  <c:v>496</c:v>
                </c:pt>
                <c:pt idx="1">
                  <c:v>504</c:v>
                </c:pt>
              </c:numCache>
            </c:numRef>
          </c:val>
          <c:extLst>
            <c:ext xmlns:c16="http://schemas.microsoft.com/office/drawing/2014/chart" uri="{C3380CC4-5D6E-409C-BE32-E72D297353CC}">
              <c16:uniqueId val="{00000004-2572-43E0-A1F8-AAFFFF9547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Executive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KPI!$B$47</c:f>
              <c:strCache>
                <c:ptCount val="1"/>
                <c:pt idx="0">
                  <c:v>Total</c:v>
                </c:pt>
              </c:strCache>
            </c:strRef>
          </c:tx>
          <c:spPr>
            <a:solidFill>
              <a:schemeClr val="accent1"/>
            </a:solidFill>
            <a:ln>
              <a:noFill/>
            </a:ln>
            <a:effectLst/>
          </c:spPr>
          <c:invertIfNegative val="0"/>
          <c:cat>
            <c:strRef>
              <c:f>KPI!$A$48:$A$53</c:f>
              <c:strCache>
                <c:ptCount val="5"/>
                <c:pt idx="0">
                  <c:v>A Kumar</c:v>
                </c:pt>
                <c:pt idx="1">
                  <c:v>K Deepak</c:v>
                </c:pt>
                <c:pt idx="2">
                  <c:v>Nisha</c:v>
                </c:pt>
                <c:pt idx="3">
                  <c:v>R Mohan</c:v>
                </c:pt>
                <c:pt idx="4">
                  <c:v>S Priya</c:v>
                </c:pt>
              </c:strCache>
            </c:strRef>
          </c:cat>
          <c:val>
            <c:numRef>
              <c:f>KPI!$B$48:$B$53</c:f>
              <c:numCache>
                <c:formatCode>General</c:formatCode>
                <c:ptCount val="5"/>
                <c:pt idx="0">
                  <c:v>296461808</c:v>
                </c:pt>
                <c:pt idx="1">
                  <c:v>323667382</c:v>
                </c:pt>
                <c:pt idx="2">
                  <c:v>348807003</c:v>
                </c:pt>
                <c:pt idx="3">
                  <c:v>304455094</c:v>
                </c:pt>
                <c:pt idx="4">
                  <c:v>273409517</c:v>
                </c:pt>
              </c:numCache>
            </c:numRef>
          </c:val>
          <c:extLst>
            <c:ext xmlns:c16="http://schemas.microsoft.com/office/drawing/2014/chart" uri="{C3380CC4-5D6E-409C-BE32-E72D297353CC}">
              <c16:uniqueId val="{00000000-5C38-4E49-BCF0-A3B7BD2B691B}"/>
            </c:ext>
          </c:extLst>
        </c:ser>
        <c:dLbls>
          <c:showLegendKey val="0"/>
          <c:showVal val="0"/>
          <c:showCatName val="0"/>
          <c:showSerName val="0"/>
          <c:showPercent val="0"/>
          <c:showBubbleSize val="0"/>
        </c:dLbls>
        <c:gapWidth val="150"/>
        <c:axId val="1365383103"/>
        <c:axId val="1365379263"/>
      </c:barChart>
      <c:catAx>
        <c:axId val="136538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79263"/>
        <c:crosses val="autoZero"/>
        <c:auto val="1"/>
        <c:lblAlgn val="ctr"/>
        <c:lblOffset val="100"/>
        <c:noMultiLvlLbl val="0"/>
      </c:catAx>
      <c:valAx>
        <c:axId val="136537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8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Vehicle Color Preference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KPI!$B$56</c:f>
              <c:strCache>
                <c:ptCount val="1"/>
                <c:pt idx="0">
                  <c:v>Total</c:v>
                </c:pt>
              </c:strCache>
            </c:strRef>
          </c:tx>
          <c:spPr>
            <a:solidFill>
              <a:schemeClr val="accent1"/>
            </a:solidFill>
            <a:ln>
              <a:noFill/>
            </a:ln>
            <a:effectLst/>
            <a:sp3d/>
          </c:spPr>
          <c:invertIfNegative val="0"/>
          <c:cat>
            <c:strRef>
              <c:f>KPI!$A$57:$A$62</c:f>
              <c:strCache>
                <c:ptCount val="5"/>
                <c:pt idx="0">
                  <c:v>Black</c:v>
                </c:pt>
                <c:pt idx="1">
                  <c:v>Green</c:v>
                </c:pt>
                <c:pt idx="2">
                  <c:v>Grey</c:v>
                </c:pt>
                <c:pt idx="3">
                  <c:v>Red</c:v>
                </c:pt>
                <c:pt idx="4">
                  <c:v>White</c:v>
                </c:pt>
              </c:strCache>
            </c:strRef>
          </c:cat>
          <c:val>
            <c:numRef>
              <c:f>KPI!$B$57:$B$62</c:f>
              <c:numCache>
                <c:formatCode>General</c:formatCode>
                <c:ptCount val="5"/>
                <c:pt idx="0">
                  <c:v>191</c:v>
                </c:pt>
                <c:pt idx="1">
                  <c:v>195</c:v>
                </c:pt>
                <c:pt idx="2">
                  <c:v>201</c:v>
                </c:pt>
                <c:pt idx="3">
                  <c:v>198</c:v>
                </c:pt>
                <c:pt idx="4">
                  <c:v>215</c:v>
                </c:pt>
              </c:numCache>
            </c:numRef>
          </c:val>
          <c:extLst>
            <c:ext xmlns:c16="http://schemas.microsoft.com/office/drawing/2014/chart" uri="{C3380CC4-5D6E-409C-BE32-E72D297353CC}">
              <c16:uniqueId val="{00000000-A93C-44D0-94B8-02484DB1FE47}"/>
            </c:ext>
          </c:extLst>
        </c:ser>
        <c:dLbls>
          <c:showLegendKey val="0"/>
          <c:showVal val="0"/>
          <c:showCatName val="0"/>
          <c:showSerName val="0"/>
          <c:showPercent val="0"/>
          <c:showBubbleSize val="0"/>
        </c:dLbls>
        <c:gapWidth val="150"/>
        <c:shape val="box"/>
        <c:axId val="664486367"/>
        <c:axId val="664472927"/>
        <c:axId val="0"/>
      </c:bar3DChart>
      <c:catAx>
        <c:axId val="664486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72927"/>
        <c:crosses val="autoZero"/>
        <c:auto val="1"/>
        <c:lblAlgn val="ctr"/>
        <c:lblOffset val="100"/>
        <c:noMultiLvlLbl val="0"/>
      </c:catAx>
      <c:valAx>
        <c:axId val="66447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48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3-Thar Car Showroom-Anandha varshini.xlsx]KPI!PivotTable3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Thar Variant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KPI!$B$18</c:f>
              <c:strCache>
                <c:ptCount val="1"/>
                <c:pt idx="0">
                  <c:v>Total</c:v>
                </c:pt>
              </c:strCache>
            </c:strRef>
          </c:tx>
          <c:spPr>
            <a:solidFill>
              <a:schemeClr val="accent1"/>
            </a:solidFill>
            <a:ln>
              <a:noFill/>
            </a:ln>
            <a:effectLst/>
          </c:spPr>
          <c:invertIfNegative val="0"/>
          <c:cat>
            <c:strRef>
              <c:f>KPI!$A$19:$A$22</c:f>
              <c:strCache>
                <c:ptCount val="3"/>
                <c:pt idx="0">
                  <c:v>AX(O)</c:v>
                </c:pt>
                <c:pt idx="1">
                  <c:v>Earth</c:v>
                </c:pt>
                <c:pt idx="2">
                  <c:v>LX</c:v>
                </c:pt>
              </c:strCache>
            </c:strRef>
          </c:cat>
          <c:val>
            <c:numRef>
              <c:f>KPI!$B$19:$B$22</c:f>
              <c:numCache>
                <c:formatCode>General</c:formatCode>
                <c:ptCount val="3"/>
                <c:pt idx="0">
                  <c:v>638241738</c:v>
                </c:pt>
                <c:pt idx="1">
                  <c:v>289828093</c:v>
                </c:pt>
                <c:pt idx="2">
                  <c:v>618730973</c:v>
                </c:pt>
              </c:numCache>
            </c:numRef>
          </c:val>
          <c:extLst>
            <c:ext xmlns:c16="http://schemas.microsoft.com/office/drawing/2014/chart" uri="{C3380CC4-5D6E-409C-BE32-E72D297353CC}">
              <c16:uniqueId val="{00000000-4BC8-4154-A0D3-DBF8E92C71CC}"/>
            </c:ext>
          </c:extLst>
        </c:ser>
        <c:dLbls>
          <c:showLegendKey val="0"/>
          <c:showVal val="0"/>
          <c:showCatName val="0"/>
          <c:showSerName val="0"/>
          <c:showPercent val="0"/>
          <c:showBubbleSize val="0"/>
        </c:dLbls>
        <c:gapWidth val="219"/>
        <c:overlap val="-27"/>
        <c:axId val="1365357663"/>
        <c:axId val="1365362463"/>
      </c:barChart>
      <c:catAx>
        <c:axId val="136535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62463"/>
        <c:crosses val="autoZero"/>
        <c:auto val="1"/>
        <c:lblAlgn val="ctr"/>
        <c:lblOffset val="100"/>
        <c:noMultiLvlLbl val="0"/>
      </c:catAx>
      <c:valAx>
        <c:axId val="136536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35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763905</xdr:colOff>
      <xdr:row>5</xdr:row>
      <xdr:rowOff>154305</xdr:rowOff>
    </xdr:from>
    <xdr:to>
      <xdr:col>5</xdr:col>
      <xdr:colOff>274320</xdr:colOff>
      <xdr:row>16</xdr:row>
      <xdr:rowOff>19050</xdr:rowOff>
    </xdr:to>
    <xdr:graphicFrame macro="">
      <xdr:nvGraphicFramePr>
        <xdr:cNvPr id="2" name="Chart 1">
          <a:extLst>
            <a:ext uri="{FF2B5EF4-FFF2-40B4-BE49-F238E27FC236}">
              <a16:creationId xmlns:a16="http://schemas.microsoft.com/office/drawing/2014/main" id="{C344466D-9FA9-09E3-AEEB-9ED488F1A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760095</xdr:colOff>
      <xdr:row>16</xdr:row>
      <xdr:rowOff>152400</xdr:rowOff>
    </xdr:from>
    <xdr:to>
      <xdr:col>5</xdr:col>
      <xdr:colOff>259080</xdr:colOff>
      <xdr:row>26</xdr:row>
      <xdr:rowOff>179070</xdr:rowOff>
    </xdr:to>
    <xdr:graphicFrame macro="">
      <xdr:nvGraphicFramePr>
        <xdr:cNvPr id="3" name="Chart 2">
          <a:extLst>
            <a:ext uri="{FF2B5EF4-FFF2-40B4-BE49-F238E27FC236}">
              <a16:creationId xmlns:a16="http://schemas.microsoft.com/office/drawing/2014/main" id="{0892A1E0-BBE8-5579-D137-877B31C86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786765</xdr:colOff>
      <xdr:row>27</xdr:row>
      <xdr:rowOff>0</xdr:rowOff>
    </xdr:from>
    <xdr:to>
      <xdr:col>5</xdr:col>
      <xdr:colOff>278130</xdr:colOff>
      <xdr:row>37</xdr:row>
      <xdr:rowOff>30480</xdr:rowOff>
    </xdr:to>
    <xdr:graphicFrame macro="">
      <xdr:nvGraphicFramePr>
        <xdr:cNvPr id="4" name="Chart 3">
          <a:extLst>
            <a:ext uri="{FF2B5EF4-FFF2-40B4-BE49-F238E27FC236}">
              <a16:creationId xmlns:a16="http://schemas.microsoft.com/office/drawing/2014/main" id="{1ED12CC9-DE60-D19E-ED54-4659806D8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775335</xdr:colOff>
      <xdr:row>40</xdr:row>
      <xdr:rowOff>165735</xdr:rowOff>
    </xdr:from>
    <xdr:to>
      <xdr:col>5</xdr:col>
      <xdr:colOff>308610</xdr:colOff>
      <xdr:row>53</xdr:row>
      <xdr:rowOff>140970</xdr:rowOff>
    </xdr:to>
    <xdr:graphicFrame macro="">
      <xdr:nvGraphicFramePr>
        <xdr:cNvPr id="5" name="Chart 4">
          <a:extLst>
            <a:ext uri="{FF2B5EF4-FFF2-40B4-BE49-F238E27FC236}">
              <a16:creationId xmlns:a16="http://schemas.microsoft.com/office/drawing/2014/main" id="{C8592054-FB67-32A3-C8FC-615464026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790575</xdr:colOff>
      <xdr:row>54</xdr:row>
      <xdr:rowOff>47625</xdr:rowOff>
    </xdr:from>
    <xdr:to>
      <xdr:col>5</xdr:col>
      <xdr:colOff>316230</xdr:colOff>
      <xdr:row>65</xdr:row>
      <xdr:rowOff>133350</xdr:rowOff>
    </xdr:to>
    <xdr:graphicFrame macro="">
      <xdr:nvGraphicFramePr>
        <xdr:cNvPr id="6" name="Chart 5">
          <a:extLst>
            <a:ext uri="{FF2B5EF4-FFF2-40B4-BE49-F238E27FC236}">
              <a16:creationId xmlns:a16="http://schemas.microsoft.com/office/drawing/2014/main" id="{07DA25A6-3E0E-A49F-2182-BB147BB0E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763905</xdr:colOff>
      <xdr:row>66</xdr:row>
      <xdr:rowOff>97155</xdr:rowOff>
    </xdr:from>
    <xdr:to>
      <xdr:col>5</xdr:col>
      <xdr:colOff>327660</xdr:colOff>
      <xdr:row>78</xdr:row>
      <xdr:rowOff>140970</xdr:rowOff>
    </xdr:to>
    <xdr:graphicFrame macro="">
      <xdr:nvGraphicFramePr>
        <xdr:cNvPr id="7" name="Chart 6">
          <a:extLst>
            <a:ext uri="{FF2B5EF4-FFF2-40B4-BE49-F238E27FC236}">
              <a16:creationId xmlns:a16="http://schemas.microsoft.com/office/drawing/2014/main" id="{FAB3346F-039E-C69F-E969-A75E83170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760095</xdr:colOff>
      <xdr:row>79</xdr:row>
      <xdr:rowOff>59055</xdr:rowOff>
    </xdr:from>
    <xdr:to>
      <xdr:col>5</xdr:col>
      <xdr:colOff>342900</xdr:colOff>
      <xdr:row>92</xdr:row>
      <xdr:rowOff>45720</xdr:rowOff>
    </xdr:to>
    <xdr:graphicFrame macro="">
      <xdr:nvGraphicFramePr>
        <xdr:cNvPr id="8" name="Chart 7">
          <a:extLst>
            <a:ext uri="{FF2B5EF4-FFF2-40B4-BE49-F238E27FC236}">
              <a16:creationId xmlns:a16="http://schemas.microsoft.com/office/drawing/2014/main" id="{00B8C06D-24DA-F591-03F8-5F6AB6372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68580</xdr:colOff>
      <xdr:row>1</xdr:row>
      <xdr:rowOff>160021</xdr:rowOff>
    </xdr:from>
    <xdr:to>
      <xdr:col>9</xdr:col>
      <xdr:colOff>617220</xdr:colOff>
      <xdr:row>12</xdr:row>
      <xdr:rowOff>179071</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9DEFE38F-0396-C440-B2B6-01BB3C1088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559040" y="342901"/>
              <a:ext cx="1828800" cy="2030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72390</xdr:colOff>
      <xdr:row>14</xdr:row>
      <xdr:rowOff>64771</xdr:rowOff>
    </xdr:from>
    <xdr:to>
      <xdr:col>9</xdr:col>
      <xdr:colOff>621030</xdr:colOff>
      <xdr:row>24</xdr:row>
      <xdr:rowOff>11431</xdr:rowOff>
    </xdr:to>
    <mc:AlternateContent xmlns:mc="http://schemas.openxmlformats.org/markup-compatibility/2006">
      <mc:Choice xmlns:a14="http://schemas.microsoft.com/office/drawing/2010/main" Requires="a14">
        <xdr:graphicFrame macro="">
          <xdr:nvGraphicFramePr>
            <xdr:cNvPr id="10" name="Color">
              <a:extLst>
                <a:ext uri="{FF2B5EF4-FFF2-40B4-BE49-F238E27FC236}">
                  <a16:creationId xmlns:a16="http://schemas.microsoft.com/office/drawing/2014/main" id="{CC285EC6-2D14-3844-CF17-8CF0659627D5}"/>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dr:sp macro="" textlink="">
          <xdr:nvSpPr>
            <xdr:cNvPr id="0" name=""/>
            <xdr:cNvSpPr>
              <a:spLocks noTextEdit="1"/>
            </xdr:cNvSpPr>
          </xdr:nvSpPr>
          <xdr:spPr>
            <a:xfrm>
              <a:off x="7562850" y="2625091"/>
              <a:ext cx="18288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xdr:colOff>
      <xdr:row>25</xdr:row>
      <xdr:rowOff>3811</xdr:rowOff>
    </xdr:from>
    <xdr:to>
      <xdr:col>9</xdr:col>
      <xdr:colOff>582930</xdr:colOff>
      <xdr:row>34</xdr:row>
      <xdr:rowOff>110491</xdr:rowOff>
    </xdr:to>
    <mc:AlternateContent xmlns:mc="http://schemas.openxmlformats.org/markup-compatibility/2006">
      <mc:Choice xmlns:a14="http://schemas.microsoft.com/office/drawing/2010/main" Requires="a14">
        <xdr:graphicFrame macro="">
          <xdr:nvGraphicFramePr>
            <xdr:cNvPr id="11" name="Sales Executive">
              <a:extLst>
                <a:ext uri="{FF2B5EF4-FFF2-40B4-BE49-F238E27FC236}">
                  <a16:creationId xmlns:a16="http://schemas.microsoft.com/office/drawing/2014/main" id="{81D96D9C-2B2E-3D57-9EE7-69A828BD8309}"/>
                </a:ext>
              </a:extLst>
            </xdr:cNvPr>
            <xdr:cNvGraphicFramePr/>
          </xdr:nvGraphicFramePr>
          <xdr:xfrm>
            <a:off x="0" y="0"/>
            <a:ext cx="0" cy="0"/>
          </xdr:xfrm>
          <a:graphic>
            <a:graphicData uri="http://schemas.microsoft.com/office/drawing/2010/slicer">
              <sle:slicer xmlns:sle="http://schemas.microsoft.com/office/drawing/2010/slicer" name="Sales Executive"/>
            </a:graphicData>
          </a:graphic>
        </xdr:graphicFrame>
      </mc:Choice>
      <mc:Fallback>
        <xdr:sp macro="" textlink="">
          <xdr:nvSpPr>
            <xdr:cNvPr id="0" name=""/>
            <xdr:cNvSpPr>
              <a:spLocks noTextEdit="1"/>
            </xdr:cNvSpPr>
          </xdr:nvSpPr>
          <xdr:spPr>
            <a:xfrm>
              <a:off x="7524750" y="457581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35</xdr:row>
      <xdr:rowOff>3810</xdr:rowOff>
    </xdr:from>
    <xdr:to>
      <xdr:col>9</xdr:col>
      <xdr:colOff>563880</xdr:colOff>
      <xdr:row>40</xdr:row>
      <xdr:rowOff>76199</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79FD3785-6448-4630-9C48-DCB13294364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505700" y="6404610"/>
              <a:ext cx="1828800" cy="986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40</xdr:row>
      <xdr:rowOff>179070</xdr:rowOff>
    </xdr:from>
    <xdr:to>
      <xdr:col>9</xdr:col>
      <xdr:colOff>567690</xdr:colOff>
      <xdr:row>46</xdr:row>
      <xdr:rowOff>53339</xdr:rowOff>
    </xdr:to>
    <mc:AlternateContent xmlns:mc="http://schemas.openxmlformats.org/markup-compatibility/2006">
      <mc:Choice xmlns:a14="http://schemas.microsoft.com/office/drawing/2010/main" Requires="a14">
        <xdr:graphicFrame macro="">
          <xdr:nvGraphicFramePr>
            <xdr:cNvPr id="13" name="Fuel Type">
              <a:extLst>
                <a:ext uri="{FF2B5EF4-FFF2-40B4-BE49-F238E27FC236}">
                  <a16:creationId xmlns:a16="http://schemas.microsoft.com/office/drawing/2014/main" id="{C25B4E6F-ED52-56BD-1B48-CE66679DB6B4}"/>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dr:sp macro="" textlink="">
          <xdr:nvSpPr>
            <xdr:cNvPr id="0" name=""/>
            <xdr:cNvSpPr>
              <a:spLocks noTextEdit="1"/>
            </xdr:cNvSpPr>
          </xdr:nvSpPr>
          <xdr:spPr>
            <a:xfrm>
              <a:off x="7509510" y="7494270"/>
              <a:ext cx="1828800"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7619</xdr:colOff>
      <xdr:row>5</xdr:row>
      <xdr:rowOff>147484</xdr:rowOff>
    </xdr:from>
    <xdr:to>
      <xdr:col>26</xdr:col>
      <xdr:colOff>596081</xdr:colOff>
      <xdr:row>51</xdr:row>
      <xdr:rowOff>86032</xdr:rowOff>
    </xdr:to>
    <xdr:sp macro="" textlink="">
      <xdr:nvSpPr>
        <xdr:cNvPr id="2" name="Rectangle 1">
          <a:extLst>
            <a:ext uri="{FF2B5EF4-FFF2-40B4-BE49-F238E27FC236}">
              <a16:creationId xmlns:a16="http://schemas.microsoft.com/office/drawing/2014/main" id="{FDA7650C-F408-7660-DFBD-657717EF7919}"/>
            </a:ext>
          </a:extLst>
        </xdr:cNvPr>
        <xdr:cNvSpPr/>
      </xdr:nvSpPr>
      <xdr:spPr>
        <a:xfrm>
          <a:off x="646716" y="1069258"/>
          <a:ext cx="16565881" cy="84188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190500</xdr:colOff>
      <xdr:row>6</xdr:row>
      <xdr:rowOff>98323</xdr:rowOff>
    </xdr:from>
    <xdr:to>
      <xdr:col>4</xdr:col>
      <xdr:colOff>351117</xdr:colOff>
      <xdr:row>50</xdr:row>
      <xdr:rowOff>104467</xdr:rowOff>
    </xdr:to>
    <xdr:sp macro="" textlink="">
      <xdr:nvSpPr>
        <xdr:cNvPr id="3" name="Rectangle 2">
          <a:extLst>
            <a:ext uri="{FF2B5EF4-FFF2-40B4-BE49-F238E27FC236}">
              <a16:creationId xmlns:a16="http://schemas.microsoft.com/office/drawing/2014/main" id="{6E971915-ECB2-8887-EAE6-91C2B6F885F7}"/>
            </a:ext>
          </a:extLst>
        </xdr:cNvPr>
        <xdr:cNvSpPr/>
      </xdr:nvSpPr>
      <xdr:spPr>
        <a:xfrm>
          <a:off x="829597" y="1204452"/>
          <a:ext cx="2077907" cy="8117757"/>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522460</xdr:colOff>
      <xdr:row>6</xdr:row>
      <xdr:rowOff>116369</xdr:rowOff>
    </xdr:from>
    <xdr:to>
      <xdr:col>26</xdr:col>
      <xdr:colOff>436307</xdr:colOff>
      <xdr:row>10</xdr:row>
      <xdr:rowOff>181825</xdr:rowOff>
    </xdr:to>
    <xdr:sp macro="" textlink="">
      <xdr:nvSpPr>
        <xdr:cNvPr id="4" name="Rectangle 3">
          <a:extLst>
            <a:ext uri="{FF2B5EF4-FFF2-40B4-BE49-F238E27FC236}">
              <a16:creationId xmlns:a16="http://schemas.microsoft.com/office/drawing/2014/main" id="{3A28F02D-AE11-5D04-E1DA-DB2410B8A2C8}"/>
            </a:ext>
          </a:extLst>
        </xdr:cNvPr>
        <xdr:cNvSpPr/>
      </xdr:nvSpPr>
      <xdr:spPr>
        <a:xfrm>
          <a:off x="3078847" y="1222498"/>
          <a:ext cx="13973976" cy="8028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IN" sz="4000">
              <a:solidFill>
                <a:schemeClr val="tx1"/>
              </a:solidFill>
              <a:latin typeface="Algerian" panose="04020705040A02060702" pitchFamily="82" charset="0"/>
            </a:rPr>
            <a:t>Thar</a:t>
          </a:r>
          <a:r>
            <a:rPr lang="en-IN" sz="4000" baseline="0">
              <a:solidFill>
                <a:schemeClr val="tx1"/>
              </a:solidFill>
              <a:latin typeface="Algerian" panose="04020705040A02060702" pitchFamily="82" charset="0"/>
            </a:rPr>
            <a:t> Car Showroom</a:t>
          </a:r>
          <a:endParaRPr lang="en-IN" sz="4000">
            <a:solidFill>
              <a:schemeClr val="tx1"/>
            </a:solidFill>
            <a:latin typeface="Algerian" panose="04020705040A02060702" pitchFamily="82" charset="0"/>
          </a:endParaRPr>
        </a:p>
      </xdr:txBody>
    </xdr:sp>
    <xdr:clientData/>
  </xdr:twoCellAnchor>
  <xdr:twoCellAnchor>
    <xdr:from>
      <xdr:col>19</xdr:col>
      <xdr:colOff>326910</xdr:colOff>
      <xdr:row>11</xdr:row>
      <xdr:rowOff>166973</xdr:rowOff>
    </xdr:from>
    <xdr:to>
      <xdr:col>26</xdr:col>
      <xdr:colOff>399434</xdr:colOff>
      <xdr:row>24</xdr:row>
      <xdr:rowOff>36871</xdr:rowOff>
    </xdr:to>
    <xdr:graphicFrame macro="">
      <xdr:nvGraphicFramePr>
        <xdr:cNvPr id="7" name="Chart 6">
          <a:extLst>
            <a:ext uri="{FF2B5EF4-FFF2-40B4-BE49-F238E27FC236}">
              <a16:creationId xmlns:a16="http://schemas.microsoft.com/office/drawing/2014/main" id="{7D80BDCE-E90E-45E8-AA28-C0651AF6E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79658</xdr:colOff>
      <xdr:row>25</xdr:row>
      <xdr:rowOff>20815</xdr:rowOff>
    </xdr:from>
    <xdr:to>
      <xdr:col>19</xdr:col>
      <xdr:colOff>153627</xdr:colOff>
      <xdr:row>37</xdr:row>
      <xdr:rowOff>67597</xdr:rowOff>
    </xdr:to>
    <xdr:graphicFrame macro="">
      <xdr:nvGraphicFramePr>
        <xdr:cNvPr id="8" name="Chart 7">
          <a:extLst>
            <a:ext uri="{FF2B5EF4-FFF2-40B4-BE49-F238E27FC236}">
              <a16:creationId xmlns:a16="http://schemas.microsoft.com/office/drawing/2014/main" id="{E59A4246-6390-4F55-BDA3-D8B2F2787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288232</xdr:colOff>
      <xdr:row>25</xdr:row>
      <xdr:rowOff>1053</xdr:rowOff>
    </xdr:from>
    <xdr:to>
      <xdr:col>26</xdr:col>
      <xdr:colOff>411726</xdr:colOff>
      <xdr:row>37</xdr:row>
      <xdr:rowOff>67597</xdr:rowOff>
    </xdr:to>
    <xdr:graphicFrame macro="">
      <xdr:nvGraphicFramePr>
        <xdr:cNvPr id="9" name="Chart 8">
          <a:extLst>
            <a:ext uri="{FF2B5EF4-FFF2-40B4-BE49-F238E27FC236}">
              <a16:creationId xmlns:a16="http://schemas.microsoft.com/office/drawing/2014/main" id="{3E64CA70-6F8B-440C-A675-BBF831F09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515364</xdr:colOff>
      <xdr:row>38</xdr:row>
      <xdr:rowOff>32744</xdr:rowOff>
    </xdr:from>
    <xdr:to>
      <xdr:col>11</xdr:col>
      <xdr:colOff>589935</xdr:colOff>
      <xdr:row>50</xdr:row>
      <xdr:rowOff>92178</xdr:rowOff>
    </xdr:to>
    <xdr:graphicFrame macro="">
      <xdr:nvGraphicFramePr>
        <xdr:cNvPr id="12" name="Chart 11">
          <a:extLst>
            <a:ext uri="{FF2B5EF4-FFF2-40B4-BE49-F238E27FC236}">
              <a16:creationId xmlns:a16="http://schemas.microsoft.com/office/drawing/2014/main" id="{605080DB-BBA0-4DDC-813F-39067EC37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79888</xdr:colOff>
      <xdr:row>38</xdr:row>
      <xdr:rowOff>38889</xdr:rowOff>
    </xdr:from>
    <xdr:to>
      <xdr:col>19</xdr:col>
      <xdr:colOff>153628</xdr:colOff>
      <xdr:row>50</xdr:row>
      <xdr:rowOff>73743</xdr:rowOff>
    </xdr:to>
    <xdr:graphicFrame macro="">
      <xdr:nvGraphicFramePr>
        <xdr:cNvPr id="13" name="Chart 12">
          <a:extLst>
            <a:ext uri="{FF2B5EF4-FFF2-40B4-BE49-F238E27FC236}">
              <a16:creationId xmlns:a16="http://schemas.microsoft.com/office/drawing/2014/main" id="{A344285A-7325-4B9E-A3C2-DA5526D83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287991</xdr:colOff>
      <xdr:row>38</xdr:row>
      <xdr:rowOff>14308</xdr:rowOff>
    </xdr:from>
    <xdr:to>
      <xdr:col>26</xdr:col>
      <xdr:colOff>424016</xdr:colOff>
      <xdr:row>50</xdr:row>
      <xdr:rowOff>98323</xdr:rowOff>
    </xdr:to>
    <xdr:graphicFrame macro="">
      <xdr:nvGraphicFramePr>
        <xdr:cNvPr id="15" name="Chart 14">
          <a:extLst>
            <a:ext uri="{FF2B5EF4-FFF2-40B4-BE49-F238E27FC236}">
              <a16:creationId xmlns:a16="http://schemas.microsoft.com/office/drawing/2014/main" id="{43A07EE0-2F3E-480F-8794-8A69825A5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521509</xdr:colOff>
      <xdr:row>25</xdr:row>
      <xdr:rowOff>14307</xdr:rowOff>
    </xdr:from>
    <xdr:to>
      <xdr:col>11</xdr:col>
      <xdr:colOff>583790</xdr:colOff>
      <xdr:row>37</xdr:row>
      <xdr:rowOff>67597</xdr:rowOff>
    </xdr:to>
    <xdr:graphicFrame macro="">
      <xdr:nvGraphicFramePr>
        <xdr:cNvPr id="16" name="Chart 15">
          <a:extLst>
            <a:ext uri="{FF2B5EF4-FFF2-40B4-BE49-F238E27FC236}">
              <a16:creationId xmlns:a16="http://schemas.microsoft.com/office/drawing/2014/main" id="{B2A37A08-5623-4116-BE4F-EFC4B55B3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251952</xdr:colOff>
      <xdr:row>13</xdr:row>
      <xdr:rowOff>79887</xdr:rowOff>
    </xdr:from>
    <xdr:to>
      <xdr:col>9</xdr:col>
      <xdr:colOff>350275</xdr:colOff>
      <xdr:row>17</xdr:row>
      <xdr:rowOff>104468</xdr:rowOff>
    </xdr:to>
    <xdr:sp macro="" textlink="KPI!$A$4">
      <xdr:nvSpPr>
        <xdr:cNvPr id="17" name="Rectangle 16">
          <a:extLst>
            <a:ext uri="{FF2B5EF4-FFF2-40B4-BE49-F238E27FC236}">
              <a16:creationId xmlns:a16="http://schemas.microsoft.com/office/drawing/2014/main" id="{D76BD154-654A-02BF-4322-52F9064D1829}"/>
            </a:ext>
          </a:extLst>
        </xdr:cNvPr>
        <xdr:cNvSpPr/>
      </xdr:nvSpPr>
      <xdr:spPr>
        <a:xfrm>
          <a:off x="3447436" y="2476500"/>
          <a:ext cx="265471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Aptos Narrow"/>
            </a:rPr>
            <a:t>Total Bookings</a:t>
          </a:r>
        </a:p>
        <a:p>
          <a:pPr algn="ctr"/>
          <a:fld id="{60FF3C7F-132B-44A7-98CF-A5C97C1AA46F}" type="TxLink">
            <a:rPr lang="en-US" sz="2000" b="0" i="0" u="none" strike="noStrike">
              <a:solidFill>
                <a:schemeClr val="bg1"/>
              </a:solidFill>
              <a:latin typeface="Aptos Narrow"/>
            </a:rPr>
            <a:pPr algn="ctr"/>
            <a:t>1000</a:t>
          </a:fld>
          <a:endParaRPr lang="en-IN" sz="2000">
            <a:solidFill>
              <a:schemeClr val="bg1"/>
            </a:solidFill>
          </a:endParaRPr>
        </a:p>
      </xdr:txBody>
    </xdr:sp>
    <xdr:clientData/>
  </xdr:twoCellAnchor>
  <xdr:twoCellAnchor>
    <xdr:from>
      <xdr:col>10</xdr:col>
      <xdr:colOff>19910</xdr:colOff>
      <xdr:row>13</xdr:row>
      <xdr:rowOff>86033</xdr:rowOff>
    </xdr:from>
    <xdr:to>
      <xdr:col>14</xdr:col>
      <xdr:colOff>118233</xdr:colOff>
      <xdr:row>17</xdr:row>
      <xdr:rowOff>110614</xdr:rowOff>
    </xdr:to>
    <xdr:sp macro="" textlink="KPI!$B$4">
      <xdr:nvSpPr>
        <xdr:cNvPr id="20" name="Rectangle 19">
          <a:extLst>
            <a:ext uri="{FF2B5EF4-FFF2-40B4-BE49-F238E27FC236}">
              <a16:creationId xmlns:a16="http://schemas.microsoft.com/office/drawing/2014/main" id="{B37DA68E-7B34-4CE0-85A3-D644EE6AEFE8}"/>
            </a:ext>
          </a:extLst>
        </xdr:cNvPr>
        <xdr:cNvSpPr/>
      </xdr:nvSpPr>
      <xdr:spPr>
        <a:xfrm>
          <a:off x="6410878" y="2482646"/>
          <a:ext cx="265471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mn-lt"/>
            </a:rPr>
            <a:t>Total Revenue</a:t>
          </a:r>
        </a:p>
        <a:p>
          <a:pPr algn="ctr"/>
          <a:fld id="{38B6F0CF-25F2-4CE6-BAE1-8E7B2EA63DE8}" type="TxLink">
            <a:rPr lang="en-US" sz="2000" b="0" i="0" u="none" strike="noStrike">
              <a:solidFill>
                <a:schemeClr val="bg1"/>
              </a:solidFill>
              <a:latin typeface="Aptos Narrow"/>
            </a:rPr>
            <a:pPr algn="ctr"/>
            <a:t>1546800804</a:t>
          </a:fld>
          <a:endParaRPr lang="en-IN" sz="2000">
            <a:solidFill>
              <a:schemeClr val="bg1"/>
            </a:solidFill>
          </a:endParaRPr>
        </a:p>
      </xdr:txBody>
    </xdr:sp>
    <xdr:clientData/>
  </xdr:twoCellAnchor>
  <xdr:twoCellAnchor>
    <xdr:from>
      <xdr:col>14</xdr:col>
      <xdr:colOff>387387</xdr:colOff>
      <xdr:row>13</xdr:row>
      <xdr:rowOff>103238</xdr:rowOff>
    </xdr:from>
    <xdr:to>
      <xdr:col>18</xdr:col>
      <xdr:colOff>485710</xdr:colOff>
      <xdr:row>17</xdr:row>
      <xdr:rowOff>127819</xdr:rowOff>
    </xdr:to>
    <xdr:sp macro="" textlink="KPI!J10">
      <xdr:nvSpPr>
        <xdr:cNvPr id="22" name="Rectangle 21">
          <a:extLst>
            <a:ext uri="{FF2B5EF4-FFF2-40B4-BE49-F238E27FC236}">
              <a16:creationId xmlns:a16="http://schemas.microsoft.com/office/drawing/2014/main" id="{6CB402A0-2A14-4571-8E4C-4B477DDD1A7C}"/>
            </a:ext>
          </a:extLst>
        </xdr:cNvPr>
        <xdr:cNvSpPr/>
      </xdr:nvSpPr>
      <xdr:spPr>
        <a:xfrm>
          <a:off x="9334742" y="2499851"/>
          <a:ext cx="265471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mn-lt"/>
            </a:rPr>
            <a:t>Average of Final_Price</a:t>
          </a:r>
        </a:p>
        <a:p>
          <a:pPr algn="ctr"/>
          <a:fld id="{37926104-CCA0-4309-907F-DEEA3706B233}" type="TxLink">
            <a:rPr lang="en-US" sz="2000" b="0" i="0" u="none" strike="noStrike">
              <a:solidFill>
                <a:schemeClr val="bg1"/>
              </a:solidFill>
              <a:latin typeface="Aptos Narrow"/>
            </a:rPr>
            <a:pPr algn="ctr"/>
            <a:t>1546800.804</a:t>
          </a:fld>
          <a:endParaRPr lang="en-US" sz="2000">
            <a:solidFill>
              <a:schemeClr val="bg1"/>
            </a:solidFill>
          </a:endParaRPr>
        </a:p>
      </xdr:txBody>
    </xdr:sp>
    <xdr:clientData/>
  </xdr:twoCellAnchor>
  <xdr:twoCellAnchor>
    <xdr:from>
      <xdr:col>12</xdr:col>
      <xdr:colOff>232530</xdr:colOff>
      <xdr:row>18</xdr:row>
      <xdr:rowOff>132736</xdr:rowOff>
    </xdr:from>
    <xdr:to>
      <xdr:col>16</xdr:col>
      <xdr:colOff>330853</xdr:colOff>
      <xdr:row>22</xdr:row>
      <xdr:rowOff>157317</xdr:rowOff>
    </xdr:to>
    <xdr:sp macro="" textlink="KPI!J12">
      <xdr:nvSpPr>
        <xdr:cNvPr id="23" name="Rectangle 22">
          <a:extLst>
            <a:ext uri="{FF2B5EF4-FFF2-40B4-BE49-F238E27FC236}">
              <a16:creationId xmlns:a16="http://schemas.microsoft.com/office/drawing/2014/main" id="{E8F1BE4A-BB9E-402E-BA2A-A19699053A78}"/>
            </a:ext>
          </a:extLst>
        </xdr:cNvPr>
        <xdr:cNvSpPr/>
      </xdr:nvSpPr>
      <xdr:spPr>
        <a:xfrm>
          <a:off x="7901691" y="3451123"/>
          <a:ext cx="265471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mn-lt"/>
            </a:rPr>
            <a:t>Count of Finance</a:t>
          </a:r>
        </a:p>
        <a:p>
          <a:pPr algn="ctr"/>
          <a:fld id="{3ABF93D9-3FAD-43A6-8082-75B40340DB6E}" type="TxLink">
            <a:rPr lang="en-US" sz="2000" b="0" i="0" u="none" strike="noStrike">
              <a:solidFill>
                <a:schemeClr val="bg1"/>
              </a:solidFill>
              <a:latin typeface="Aptos Narrow"/>
            </a:rPr>
            <a:pPr algn="ctr"/>
            <a:t>1000</a:t>
          </a:fld>
          <a:endParaRPr lang="en-IN" sz="2000">
            <a:solidFill>
              <a:schemeClr val="bg1"/>
            </a:solidFill>
          </a:endParaRPr>
        </a:p>
      </xdr:txBody>
    </xdr:sp>
    <xdr:clientData/>
  </xdr:twoCellAnchor>
  <xdr:twoCellAnchor>
    <xdr:from>
      <xdr:col>6</xdr:col>
      <xdr:colOff>448596</xdr:colOff>
      <xdr:row>18</xdr:row>
      <xdr:rowOff>131508</xdr:rowOff>
    </xdr:from>
    <xdr:to>
      <xdr:col>11</xdr:col>
      <xdr:colOff>501689</xdr:colOff>
      <xdr:row>22</xdr:row>
      <xdr:rowOff>156089</xdr:rowOff>
    </xdr:to>
    <xdr:sp macro="" textlink="KPI!J11">
      <xdr:nvSpPr>
        <xdr:cNvPr id="24" name="Rectangle 23">
          <a:extLst>
            <a:ext uri="{FF2B5EF4-FFF2-40B4-BE49-F238E27FC236}">
              <a16:creationId xmlns:a16="http://schemas.microsoft.com/office/drawing/2014/main" id="{2F486390-AFBD-422D-8C18-7B30E64F1DB6}"/>
            </a:ext>
          </a:extLst>
        </xdr:cNvPr>
        <xdr:cNvSpPr/>
      </xdr:nvSpPr>
      <xdr:spPr>
        <a:xfrm>
          <a:off x="4283177" y="3449895"/>
          <a:ext cx="3248577"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mn-lt"/>
            </a:rPr>
            <a:t>Average of Customer Rating</a:t>
          </a:r>
        </a:p>
        <a:p>
          <a:pPr algn="ctr"/>
          <a:fld id="{F4754C6C-7458-45B4-962E-AC15C7D01D3B}" type="TxLink">
            <a:rPr lang="en-US" sz="2000" b="0" i="0" u="none" strike="noStrike">
              <a:solidFill>
                <a:schemeClr val="bg1"/>
              </a:solidFill>
              <a:latin typeface="Aptos Narrow"/>
            </a:rPr>
            <a:pPr algn="ctr"/>
            <a:t>4.0098</a:t>
          </a:fld>
          <a:endParaRPr lang="en-IN" sz="2000">
            <a:solidFill>
              <a:schemeClr val="bg1"/>
            </a:solidFill>
          </a:endParaRPr>
        </a:p>
      </xdr:txBody>
    </xdr:sp>
    <xdr:clientData/>
  </xdr:twoCellAnchor>
  <xdr:twoCellAnchor>
    <xdr:from>
      <xdr:col>4</xdr:col>
      <xdr:colOff>602226</xdr:colOff>
      <xdr:row>12</xdr:row>
      <xdr:rowOff>79887</xdr:rowOff>
    </xdr:from>
    <xdr:to>
      <xdr:col>19</xdr:col>
      <xdr:colOff>55307</xdr:colOff>
      <xdr:row>12</xdr:row>
      <xdr:rowOff>92178</xdr:rowOff>
    </xdr:to>
    <xdr:cxnSp macro="">
      <xdr:nvCxnSpPr>
        <xdr:cNvPr id="26" name="Straight Connector 25">
          <a:extLst>
            <a:ext uri="{FF2B5EF4-FFF2-40B4-BE49-F238E27FC236}">
              <a16:creationId xmlns:a16="http://schemas.microsoft.com/office/drawing/2014/main" id="{F7D79A8B-A90D-F40C-EEEE-B6824AD06F68}"/>
            </a:ext>
          </a:extLst>
        </xdr:cNvPr>
        <xdr:cNvCxnSpPr/>
      </xdr:nvCxnSpPr>
      <xdr:spPr>
        <a:xfrm>
          <a:off x="3158613" y="2292145"/>
          <a:ext cx="9039533" cy="12291"/>
        </a:xfrm>
        <a:prstGeom prst="line">
          <a:avLst/>
        </a:prstGeom>
      </xdr:spPr>
      <xdr:style>
        <a:lnRef idx="3">
          <a:schemeClr val="accent4"/>
        </a:lnRef>
        <a:fillRef idx="0">
          <a:schemeClr val="accent4"/>
        </a:fillRef>
        <a:effectRef idx="2">
          <a:schemeClr val="accent4"/>
        </a:effectRef>
        <a:fontRef idx="minor">
          <a:schemeClr val="tx1"/>
        </a:fontRef>
      </xdr:style>
    </xdr:cxnSp>
    <xdr:clientData/>
  </xdr:twoCellAnchor>
  <xdr:twoCellAnchor>
    <xdr:from>
      <xdr:col>4</xdr:col>
      <xdr:colOff>603700</xdr:colOff>
      <xdr:row>23</xdr:row>
      <xdr:rowOff>159774</xdr:rowOff>
    </xdr:from>
    <xdr:to>
      <xdr:col>19</xdr:col>
      <xdr:colOff>49161</xdr:colOff>
      <xdr:row>23</xdr:row>
      <xdr:rowOff>178210</xdr:rowOff>
    </xdr:to>
    <xdr:cxnSp macro="">
      <xdr:nvCxnSpPr>
        <xdr:cNvPr id="28" name="Straight Connector 27">
          <a:extLst>
            <a:ext uri="{FF2B5EF4-FFF2-40B4-BE49-F238E27FC236}">
              <a16:creationId xmlns:a16="http://schemas.microsoft.com/office/drawing/2014/main" id="{44E41D05-04B6-4CC8-BA38-C7A960C35030}"/>
            </a:ext>
          </a:extLst>
        </xdr:cNvPr>
        <xdr:cNvCxnSpPr/>
      </xdr:nvCxnSpPr>
      <xdr:spPr>
        <a:xfrm flipV="1">
          <a:off x="3160087" y="4399935"/>
          <a:ext cx="9031913" cy="18436"/>
        </a:xfrm>
        <a:prstGeom prst="line">
          <a:avLst/>
        </a:prstGeom>
      </xdr:spPr>
      <xdr:style>
        <a:lnRef idx="3">
          <a:schemeClr val="accent4"/>
        </a:lnRef>
        <a:fillRef idx="0">
          <a:schemeClr val="accent4"/>
        </a:fillRef>
        <a:effectRef idx="2">
          <a:schemeClr val="accent4"/>
        </a:effectRef>
        <a:fontRef idx="minor">
          <a:schemeClr val="tx1"/>
        </a:fontRef>
      </xdr:style>
    </xdr:cxnSp>
    <xdr:clientData/>
  </xdr:twoCellAnchor>
  <xdr:twoCellAnchor>
    <xdr:from>
      <xdr:col>4</xdr:col>
      <xdr:colOff>626807</xdr:colOff>
      <xdr:row>12</xdr:row>
      <xdr:rowOff>73742</xdr:rowOff>
    </xdr:from>
    <xdr:to>
      <xdr:col>4</xdr:col>
      <xdr:colOff>626807</xdr:colOff>
      <xdr:row>23</xdr:row>
      <xdr:rowOff>165920</xdr:rowOff>
    </xdr:to>
    <xdr:cxnSp macro="">
      <xdr:nvCxnSpPr>
        <xdr:cNvPr id="32" name="Straight Connector 31">
          <a:extLst>
            <a:ext uri="{FF2B5EF4-FFF2-40B4-BE49-F238E27FC236}">
              <a16:creationId xmlns:a16="http://schemas.microsoft.com/office/drawing/2014/main" id="{ECCC7DFF-0A98-B7BA-2CBE-E457AEB13132}"/>
            </a:ext>
          </a:extLst>
        </xdr:cNvPr>
        <xdr:cNvCxnSpPr/>
      </xdr:nvCxnSpPr>
      <xdr:spPr>
        <a:xfrm>
          <a:off x="3183194" y="2286000"/>
          <a:ext cx="0" cy="2120081"/>
        </a:xfrm>
        <a:prstGeom prst="line">
          <a:avLst/>
        </a:prstGeom>
        <a:ln>
          <a:headEnd type="none" w="med" len="med"/>
          <a:tailEnd type="none" w="med" len="med"/>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19</xdr:col>
      <xdr:colOff>55306</xdr:colOff>
      <xdr:row>12</xdr:row>
      <xdr:rowOff>79886</xdr:rowOff>
    </xdr:from>
    <xdr:to>
      <xdr:col>19</xdr:col>
      <xdr:colOff>67597</xdr:colOff>
      <xdr:row>23</xdr:row>
      <xdr:rowOff>165919</xdr:rowOff>
    </xdr:to>
    <xdr:cxnSp macro="">
      <xdr:nvCxnSpPr>
        <xdr:cNvPr id="36" name="Straight Connector 35">
          <a:extLst>
            <a:ext uri="{FF2B5EF4-FFF2-40B4-BE49-F238E27FC236}">
              <a16:creationId xmlns:a16="http://schemas.microsoft.com/office/drawing/2014/main" id="{B59D441F-ADFC-943B-66FC-F3B4EB912E10}"/>
            </a:ext>
          </a:extLst>
        </xdr:cNvPr>
        <xdr:cNvCxnSpPr/>
      </xdr:nvCxnSpPr>
      <xdr:spPr>
        <a:xfrm flipH="1">
          <a:off x="12198145" y="2292144"/>
          <a:ext cx="12291" cy="2113936"/>
        </a:xfrm>
        <a:prstGeom prst="line">
          <a:avLst/>
        </a:prstGeom>
      </xdr:spPr>
      <xdr:style>
        <a:lnRef idx="3">
          <a:schemeClr val="accent4"/>
        </a:lnRef>
        <a:fillRef idx="0">
          <a:schemeClr val="accent4"/>
        </a:fillRef>
        <a:effectRef idx="2">
          <a:schemeClr val="accent4"/>
        </a:effectRef>
        <a:fontRef idx="minor">
          <a:schemeClr val="tx1"/>
        </a:fontRef>
      </xdr:style>
    </xdr:cxnSp>
    <xdr:clientData/>
  </xdr:twoCellAnchor>
  <xdr:twoCellAnchor editAs="oneCell">
    <xdr:from>
      <xdr:col>1</xdr:col>
      <xdr:colOff>288822</xdr:colOff>
      <xdr:row>32</xdr:row>
      <xdr:rowOff>141337</xdr:rowOff>
    </xdr:from>
    <xdr:to>
      <xdr:col>4</xdr:col>
      <xdr:colOff>258096</xdr:colOff>
      <xdr:row>43</xdr:row>
      <xdr:rowOff>135193</xdr:rowOff>
    </xdr:to>
    <mc:AlternateContent xmlns:mc="http://schemas.openxmlformats.org/markup-compatibility/2006">
      <mc:Choice xmlns:a14="http://schemas.microsoft.com/office/drawing/2010/main" Requires="a14">
        <xdr:graphicFrame macro="">
          <xdr:nvGraphicFramePr>
            <xdr:cNvPr id="39" name="City 1">
              <a:extLst>
                <a:ext uri="{FF2B5EF4-FFF2-40B4-BE49-F238E27FC236}">
                  <a16:creationId xmlns:a16="http://schemas.microsoft.com/office/drawing/2014/main" id="{4F355E53-F992-4328-81A4-56A5B0B1959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27919" y="6040692"/>
              <a:ext cx="1886564" cy="2021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264241</xdr:colOff>
      <xdr:row>12</xdr:row>
      <xdr:rowOff>165919</xdr:rowOff>
    </xdr:from>
    <xdr:to>
      <xdr:col>4</xdr:col>
      <xdr:colOff>264242</xdr:colOff>
      <xdr:row>22</xdr:row>
      <xdr:rowOff>86032</xdr:rowOff>
    </xdr:to>
    <mc:AlternateContent xmlns:mc="http://schemas.openxmlformats.org/markup-compatibility/2006">
      <mc:Choice xmlns:a14="http://schemas.microsoft.com/office/drawing/2010/main" Requires="a14">
        <xdr:graphicFrame macro="">
          <xdr:nvGraphicFramePr>
            <xdr:cNvPr id="40" name="Color 1">
              <a:extLst>
                <a:ext uri="{FF2B5EF4-FFF2-40B4-BE49-F238E27FC236}">
                  <a16:creationId xmlns:a16="http://schemas.microsoft.com/office/drawing/2014/main" id="{5FCBBEB5-3459-43CE-8CED-DB4CDCAD5298}"/>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dr:sp macro="" textlink="">
          <xdr:nvSpPr>
            <xdr:cNvPr id="0" name=""/>
            <xdr:cNvSpPr>
              <a:spLocks noTextEdit="1"/>
            </xdr:cNvSpPr>
          </xdr:nvSpPr>
          <xdr:spPr>
            <a:xfrm>
              <a:off x="903338" y="2378177"/>
              <a:ext cx="1917291" cy="1763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282677</xdr:colOff>
      <xdr:row>22</xdr:row>
      <xdr:rowOff>147485</xdr:rowOff>
    </xdr:from>
    <xdr:to>
      <xdr:col>4</xdr:col>
      <xdr:colOff>264242</xdr:colOff>
      <xdr:row>32</xdr:row>
      <xdr:rowOff>56536</xdr:rowOff>
    </xdr:to>
    <mc:AlternateContent xmlns:mc="http://schemas.openxmlformats.org/markup-compatibility/2006">
      <mc:Choice xmlns:a14="http://schemas.microsoft.com/office/drawing/2010/main" Requires="a14">
        <xdr:graphicFrame macro="">
          <xdr:nvGraphicFramePr>
            <xdr:cNvPr id="42" name="Sales Executive 1">
              <a:extLst>
                <a:ext uri="{FF2B5EF4-FFF2-40B4-BE49-F238E27FC236}">
                  <a16:creationId xmlns:a16="http://schemas.microsoft.com/office/drawing/2014/main" id="{41D542F1-0163-428E-AB5C-59347401EDDE}"/>
                </a:ext>
              </a:extLst>
            </xdr:cNvPr>
            <xdr:cNvGraphicFramePr/>
          </xdr:nvGraphicFramePr>
          <xdr:xfrm>
            <a:off x="0" y="0"/>
            <a:ext cx="0" cy="0"/>
          </xdr:xfrm>
          <a:graphic>
            <a:graphicData uri="http://schemas.microsoft.com/office/drawing/2010/slicer">
              <sle:slicer xmlns:sle="http://schemas.microsoft.com/office/drawing/2010/slicer" name="Sales Executive 1"/>
            </a:graphicData>
          </a:graphic>
        </xdr:graphicFrame>
      </mc:Choice>
      <mc:Fallback>
        <xdr:sp macro="" textlink="">
          <xdr:nvSpPr>
            <xdr:cNvPr id="0" name=""/>
            <xdr:cNvSpPr>
              <a:spLocks noTextEdit="1"/>
            </xdr:cNvSpPr>
          </xdr:nvSpPr>
          <xdr:spPr>
            <a:xfrm>
              <a:off x="921774" y="4203291"/>
              <a:ext cx="1898855"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258095</xdr:colOff>
      <xdr:row>7</xdr:row>
      <xdr:rowOff>12290</xdr:rowOff>
    </xdr:from>
    <xdr:to>
      <xdr:col>4</xdr:col>
      <xdr:colOff>276532</xdr:colOff>
      <xdr:row>12</xdr:row>
      <xdr:rowOff>77305</xdr:rowOff>
    </xdr:to>
    <mc:AlternateContent xmlns:mc="http://schemas.openxmlformats.org/markup-compatibility/2006">
      <mc:Choice xmlns:a14="http://schemas.microsoft.com/office/drawing/2010/main" Requires="a14">
        <xdr:graphicFrame macro="">
          <xdr:nvGraphicFramePr>
            <xdr:cNvPr id="43" name="Gender 1">
              <a:extLst>
                <a:ext uri="{FF2B5EF4-FFF2-40B4-BE49-F238E27FC236}">
                  <a16:creationId xmlns:a16="http://schemas.microsoft.com/office/drawing/2014/main" id="{92E9DD76-0A44-4154-B2D6-12C1564973A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97192" y="1302774"/>
              <a:ext cx="1935727" cy="986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307258</xdr:colOff>
      <xdr:row>44</xdr:row>
      <xdr:rowOff>43016</xdr:rowOff>
    </xdr:from>
    <xdr:to>
      <xdr:col>4</xdr:col>
      <xdr:colOff>251952</xdr:colOff>
      <xdr:row>49</xdr:row>
      <xdr:rowOff>92791</xdr:rowOff>
    </xdr:to>
    <mc:AlternateContent xmlns:mc="http://schemas.openxmlformats.org/markup-compatibility/2006">
      <mc:Choice xmlns:a14="http://schemas.microsoft.com/office/drawing/2010/main" Requires="a14">
        <xdr:graphicFrame macro="">
          <xdr:nvGraphicFramePr>
            <xdr:cNvPr id="45" name="Fuel Type 1">
              <a:extLst>
                <a:ext uri="{FF2B5EF4-FFF2-40B4-BE49-F238E27FC236}">
                  <a16:creationId xmlns:a16="http://schemas.microsoft.com/office/drawing/2014/main" id="{567968C4-9A42-4D40-AED0-7683B8BBB680}"/>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dr:sp macro="" textlink="">
          <xdr:nvSpPr>
            <xdr:cNvPr id="0" name=""/>
            <xdr:cNvSpPr>
              <a:spLocks noTextEdit="1"/>
            </xdr:cNvSpPr>
          </xdr:nvSpPr>
          <xdr:spPr>
            <a:xfrm>
              <a:off x="946355" y="8154629"/>
              <a:ext cx="1861984"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9.233037847225" createdVersion="8" refreshedVersion="8" minRefreshableVersion="3" recordCount="1000" xr:uid="{1DBE06B5-C4FD-47D6-901F-96881F91FDAB}">
  <cacheSource type="worksheet">
    <worksheetSource name="Sheet"/>
  </cacheSource>
  <cacheFields count="24">
    <cacheField name="Customer_ID" numFmtId="0">
      <sharedItems/>
    </cacheField>
    <cacheField name="Customer Name" numFmtId="0">
      <sharedItems/>
    </cacheField>
    <cacheField name="Age" numFmtId="0">
      <sharedItems containsSemiMixedTypes="0" containsString="0" containsNumber="1" containsInteger="1" minValue="21" maxValue="60"/>
    </cacheField>
    <cacheField name="Gender" numFmtId="0">
      <sharedItems count="2">
        <s v="Female"/>
        <s v="Male"/>
      </sharedItems>
    </cacheField>
    <cacheField name="City" numFmtId="0">
      <sharedItems count="6">
        <s v="Hyderabad"/>
        <s v="Chennai"/>
        <s v="Madurai"/>
        <s v="Pune"/>
        <s v="Bengaluru"/>
        <s v="Coimbatore"/>
      </sharedItems>
    </cacheField>
    <cacheField name="State" numFmtId="0">
      <sharedItems/>
    </cacheField>
    <cacheField name="Showroom" numFmtId="0">
      <sharedItems/>
    </cacheField>
    <cacheField name="Variant" numFmtId="0">
      <sharedItems count="3">
        <s v="AX(O)"/>
        <s v="LX"/>
        <s v="Earth"/>
      </sharedItems>
    </cacheField>
    <cacheField name="Color" numFmtId="0">
      <sharedItems count="5">
        <s v="Red"/>
        <s v="Grey"/>
        <s v="White"/>
        <s v="Green"/>
        <s v="Black"/>
      </sharedItems>
    </cacheField>
    <cacheField name="Fuel Type" numFmtId="0">
      <sharedItems count="2">
        <s v="Diesel"/>
        <s v="Petrol"/>
      </sharedItems>
    </cacheField>
    <cacheField name="Transmission" numFmtId="0">
      <sharedItems/>
    </cacheField>
    <cacheField name="Booking_Date" numFmtId="14">
      <sharedItems containsSemiMixedTypes="0" containsNonDate="0" containsDate="1" containsString="0" minDate="2025-01-01T00:00:00" maxDate="2026-06-26T00:00:00"/>
    </cacheField>
    <cacheField name="Delivery_Date" numFmtId="14">
      <sharedItems containsSemiMixedTypes="0" containsNonDate="0" containsDate="1" containsString="0" minDate="2025-01-13T00:00:00" maxDate="2026-08-08T00:00:00"/>
    </cacheField>
    <cacheField name="Ex_Showroom_Price" numFmtId="0">
      <sharedItems containsSemiMixedTypes="0" containsString="0" containsNumber="1" containsInteger="1" minValue="1300468" maxValue="1899803"/>
    </cacheField>
    <cacheField name="Discount" numFmtId="0">
      <sharedItems containsSemiMixedTypes="0" containsString="0" containsNumber="1" containsInteger="1" minValue="10005" maxValue="99912"/>
    </cacheField>
    <cacheField name="Final_Price" numFmtId="0">
      <sharedItems containsSemiMixedTypes="0" containsString="0" containsNumber="1" containsInteger="1" minValue="1205143" maxValue="1883746"/>
    </cacheField>
    <cacheField name="Payment Mode" numFmtId="0">
      <sharedItems count="5">
        <s v="UPI"/>
        <s v="Credit Card"/>
        <s v="NEFT"/>
        <s v="Loan"/>
        <s v="Cash"/>
      </sharedItems>
    </cacheField>
    <cacheField name="Sales Executive" numFmtId="0">
      <sharedItems count="5">
        <s v="R Mohan"/>
        <s v="K Deepak"/>
        <s v="S Priya"/>
        <s v="Nisha"/>
        <s v="A Kumar"/>
      </sharedItems>
    </cacheField>
    <cacheField name="Test Drive" numFmtId="0">
      <sharedItems/>
    </cacheField>
    <cacheField name="Finance" numFmtId="0">
      <sharedItems/>
    </cacheField>
    <cacheField name="Customer Rating" numFmtId="0">
      <sharedItems containsSemiMixedTypes="0" containsString="0" containsNumber="1" minValue="3" maxValue="5"/>
    </cacheField>
    <cacheField name="Delivery Status" numFmtId="0">
      <sharedItems count="3">
        <s v="Delayed"/>
        <s v="In Transit"/>
        <s v="Delivered"/>
      </sharedItems>
    </cacheField>
    <cacheField name="Month" numFmtId="0">
      <sharedItems containsSemiMixedTypes="0" containsString="0" containsNumber="1" containsInteger="1" minValue="1" maxValue="12"/>
    </cacheField>
    <cacheField name="Month Name" numFmtId="0">
      <sharedItems/>
    </cacheField>
  </cacheFields>
  <extLst>
    <ext xmlns:x14="http://schemas.microsoft.com/office/spreadsheetml/2009/9/main" uri="{725AE2AE-9491-48be-B2B4-4EB974FC3084}">
      <x14:pivotCacheDefinition pivotCacheId="995652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0001"/>
    <s v="Meera Iyer"/>
    <n v="57"/>
    <x v="0"/>
    <x v="0"/>
    <s v="Telangana"/>
    <s v="Mahindra"/>
    <x v="0"/>
    <x v="0"/>
    <x v="0"/>
    <s v="Manual"/>
    <d v="2026-06-14T00:00:00"/>
    <d v="2026-07-12T00:00:00"/>
    <n v="1755743"/>
    <n v="13846"/>
    <n v="1741897"/>
    <x v="0"/>
    <x v="0"/>
    <s v="No"/>
    <s v="Yes"/>
    <n v="4.8"/>
    <x v="0"/>
    <n v="7"/>
    <s v="July"/>
  </r>
  <r>
    <s v="C0002"/>
    <s v="Karthik S"/>
    <n v="22"/>
    <x v="1"/>
    <x v="1"/>
    <s v="Tamil Nadu"/>
    <s v="Mahindra"/>
    <x v="0"/>
    <x v="1"/>
    <x v="0"/>
    <s v="Automatic"/>
    <d v="2025-11-03T00:00:00"/>
    <d v="2025-12-06T00:00:00"/>
    <n v="1819418"/>
    <n v="15449"/>
    <n v="1803969"/>
    <x v="1"/>
    <x v="1"/>
    <s v="No"/>
    <s v="Yes"/>
    <n v="3.6"/>
    <x v="0"/>
    <n v="12"/>
    <s v="December"/>
  </r>
  <r>
    <s v="C0003"/>
    <s v="Rohit Singh"/>
    <n v="53"/>
    <x v="0"/>
    <x v="2"/>
    <s v="Tamil Nadu"/>
    <s v="Mahindra"/>
    <x v="0"/>
    <x v="2"/>
    <x v="1"/>
    <s v="Manual"/>
    <d v="2025-07-21T00:00:00"/>
    <d v="2025-08-04T00:00:00"/>
    <n v="1351540"/>
    <n v="91411"/>
    <n v="1260129"/>
    <x v="2"/>
    <x v="0"/>
    <s v="Yes"/>
    <s v="Yes"/>
    <n v="3.1"/>
    <x v="1"/>
    <n v="8"/>
    <s v="August"/>
  </r>
  <r>
    <s v="C0004"/>
    <s v="Meera Iyer"/>
    <n v="39"/>
    <x v="1"/>
    <x v="0"/>
    <s v="Telangana"/>
    <s v="Mahindra"/>
    <x v="0"/>
    <x v="3"/>
    <x v="0"/>
    <s v="Manual"/>
    <d v="2025-10-28T00:00:00"/>
    <d v="2025-11-16T00:00:00"/>
    <n v="1531697"/>
    <n v="56853"/>
    <n v="1474844"/>
    <x v="2"/>
    <x v="0"/>
    <s v="Yes"/>
    <s v="Yes"/>
    <n v="3.4"/>
    <x v="1"/>
    <n v="11"/>
    <s v="November"/>
  </r>
  <r>
    <s v="C0005"/>
    <s v="Priya Nair"/>
    <n v="23"/>
    <x v="0"/>
    <x v="1"/>
    <s v="Tamil Nadu"/>
    <s v="Mahindra"/>
    <x v="0"/>
    <x v="2"/>
    <x v="1"/>
    <s v="Automatic"/>
    <d v="2026-03-09T00:00:00"/>
    <d v="2026-04-04T00:00:00"/>
    <n v="1856277"/>
    <n v="53036"/>
    <n v="1803241"/>
    <x v="1"/>
    <x v="0"/>
    <s v="No"/>
    <s v="No"/>
    <n v="5"/>
    <x v="0"/>
    <n v="4"/>
    <s v="April"/>
  </r>
  <r>
    <s v="C0006"/>
    <s v="Priya Nair"/>
    <n v="46"/>
    <x v="1"/>
    <x v="1"/>
    <s v="Tamil Nadu"/>
    <s v="Mahindra"/>
    <x v="1"/>
    <x v="1"/>
    <x v="0"/>
    <s v="Manual"/>
    <d v="2025-05-14T00:00:00"/>
    <d v="2025-06-09T00:00:00"/>
    <n v="1403128"/>
    <n v="13866"/>
    <n v="1389262"/>
    <x v="3"/>
    <x v="2"/>
    <s v="No"/>
    <s v="No"/>
    <n v="4.9000000000000004"/>
    <x v="0"/>
    <n v="6"/>
    <s v="June"/>
  </r>
  <r>
    <s v="C0007"/>
    <s v="Sneha Patel"/>
    <n v="48"/>
    <x v="0"/>
    <x v="3"/>
    <s v="Maharashtra"/>
    <s v="Mahindra"/>
    <x v="0"/>
    <x v="2"/>
    <x v="0"/>
    <s v="Automatic"/>
    <d v="2025-11-24T00:00:00"/>
    <d v="2025-12-07T00:00:00"/>
    <n v="1633498"/>
    <n v="90281"/>
    <n v="1543217"/>
    <x v="3"/>
    <x v="0"/>
    <s v="Yes"/>
    <s v="No"/>
    <n v="4.7"/>
    <x v="1"/>
    <n v="12"/>
    <s v="December"/>
  </r>
  <r>
    <s v="C0008"/>
    <s v="Meera Iyer"/>
    <n v="24"/>
    <x v="1"/>
    <x v="2"/>
    <s v="Tamil Nadu"/>
    <s v="Mahindra"/>
    <x v="1"/>
    <x v="4"/>
    <x v="0"/>
    <s v="Automatic"/>
    <d v="2025-09-02T00:00:00"/>
    <d v="2025-10-09T00:00:00"/>
    <n v="1572313"/>
    <n v="13817"/>
    <n v="1558496"/>
    <x v="1"/>
    <x v="0"/>
    <s v="No"/>
    <s v="Yes"/>
    <n v="3.6"/>
    <x v="0"/>
    <n v="10"/>
    <s v="October"/>
  </r>
  <r>
    <s v="C0009"/>
    <s v="Karthik S"/>
    <n v="46"/>
    <x v="1"/>
    <x v="3"/>
    <s v="Maharashtra"/>
    <s v="Mahindra"/>
    <x v="2"/>
    <x v="3"/>
    <x v="0"/>
    <s v="Automatic"/>
    <d v="2025-07-23T00:00:00"/>
    <d v="2025-08-14T00:00:00"/>
    <n v="1469275"/>
    <n v="86655"/>
    <n v="1382620"/>
    <x v="4"/>
    <x v="3"/>
    <s v="Yes"/>
    <s v="Yes"/>
    <n v="3.8"/>
    <x v="0"/>
    <n v="8"/>
    <s v="August"/>
  </r>
  <r>
    <s v="C0010"/>
    <s v="Anjali Verma"/>
    <n v="54"/>
    <x v="0"/>
    <x v="1"/>
    <s v="Tamil Nadu"/>
    <s v="Mahindra"/>
    <x v="1"/>
    <x v="1"/>
    <x v="1"/>
    <s v="Automatic"/>
    <d v="2025-07-13T00:00:00"/>
    <d v="2025-08-03T00:00:00"/>
    <n v="1757070"/>
    <n v="20398"/>
    <n v="1736672"/>
    <x v="4"/>
    <x v="3"/>
    <s v="Yes"/>
    <s v="No"/>
    <n v="3.9"/>
    <x v="0"/>
    <n v="8"/>
    <s v="August"/>
  </r>
  <r>
    <s v="C0011"/>
    <s v="Rahul Sharma"/>
    <n v="30"/>
    <x v="1"/>
    <x v="4"/>
    <s v="Karnataka"/>
    <s v="Mahindra"/>
    <x v="1"/>
    <x v="0"/>
    <x v="1"/>
    <s v="Automatic"/>
    <d v="2025-04-30T00:00:00"/>
    <d v="2025-05-20T00:00:00"/>
    <n v="1879221"/>
    <n v="93461"/>
    <n v="1785760"/>
    <x v="1"/>
    <x v="2"/>
    <s v="No"/>
    <s v="No"/>
    <n v="3.4"/>
    <x v="1"/>
    <n v="5"/>
    <s v="May"/>
  </r>
  <r>
    <s v="C0012"/>
    <s v="Anjali Verma"/>
    <n v="34"/>
    <x v="1"/>
    <x v="4"/>
    <s v="Karnataka"/>
    <s v="Mahindra"/>
    <x v="2"/>
    <x v="3"/>
    <x v="0"/>
    <s v="Manual"/>
    <d v="2025-12-20T00:00:00"/>
    <d v="2026-01-19T00:00:00"/>
    <n v="1797480"/>
    <n v="66498"/>
    <n v="1730982"/>
    <x v="4"/>
    <x v="3"/>
    <s v="No"/>
    <s v="Yes"/>
    <n v="4.4000000000000004"/>
    <x v="0"/>
    <n v="1"/>
    <s v="January"/>
  </r>
  <r>
    <s v="C0013"/>
    <s v="Anjali Verma"/>
    <n v="32"/>
    <x v="0"/>
    <x v="5"/>
    <s v="Tamil Nadu"/>
    <s v="Mahindra"/>
    <x v="0"/>
    <x v="2"/>
    <x v="1"/>
    <s v="Automatic"/>
    <d v="2026-04-05T00:00:00"/>
    <d v="2026-04-12T00:00:00"/>
    <n v="1530369"/>
    <n v="87251"/>
    <n v="1443118"/>
    <x v="2"/>
    <x v="1"/>
    <s v="No"/>
    <s v="Yes"/>
    <n v="4.8"/>
    <x v="2"/>
    <n v="4"/>
    <s v="April"/>
  </r>
  <r>
    <s v="C0014"/>
    <s v="Vikram Rao"/>
    <n v="53"/>
    <x v="0"/>
    <x v="0"/>
    <s v="Telangana"/>
    <s v="Mahindra"/>
    <x v="0"/>
    <x v="1"/>
    <x v="0"/>
    <s v="Automatic"/>
    <d v="2025-06-19T00:00:00"/>
    <d v="2025-07-08T00:00:00"/>
    <n v="1418671"/>
    <n v="28648"/>
    <n v="1390023"/>
    <x v="1"/>
    <x v="2"/>
    <s v="Yes"/>
    <s v="No"/>
    <n v="3.1"/>
    <x v="1"/>
    <n v="7"/>
    <s v="July"/>
  </r>
  <r>
    <s v="C0015"/>
    <s v="Priya Nair"/>
    <n v="23"/>
    <x v="0"/>
    <x v="0"/>
    <s v="Telangana"/>
    <s v="Mahindra"/>
    <x v="0"/>
    <x v="0"/>
    <x v="1"/>
    <s v="Manual"/>
    <d v="2025-03-21T00:00:00"/>
    <d v="2025-04-16T00:00:00"/>
    <n v="1771464"/>
    <n v="55656"/>
    <n v="1715808"/>
    <x v="3"/>
    <x v="3"/>
    <s v="Yes"/>
    <s v="No"/>
    <n v="4"/>
    <x v="0"/>
    <n v="4"/>
    <s v="April"/>
  </r>
  <r>
    <s v="C0016"/>
    <s v="Anjali Verma"/>
    <n v="48"/>
    <x v="0"/>
    <x v="2"/>
    <s v="Tamil Nadu"/>
    <s v="Mahindra"/>
    <x v="0"/>
    <x v="2"/>
    <x v="1"/>
    <s v="Manual"/>
    <d v="2025-02-23T00:00:00"/>
    <d v="2025-03-18T00:00:00"/>
    <n v="1633686"/>
    <n v="63251"/>
    <n v="1570435"/>
    <x v="2"/>
    <x v="2"/>
    <s v="Yes"/>
    <s v="Yes"/>
    <n v="3"/>
    <x v="0"/>
    <n v="3"/>
    <s v="March"/>
  </r>
  <r>
    <s v="C0017"/>
    <s v="Pooja Das"/>
    <n v="26"/>
    <x v="0"/>
    <x v="4"/>
    <s v="Karnataka"/>
    <s v="Mahindra"/>
    <x v="1"/>
    <x v="2"/>
    <x v="0"/>
    <s v="Automatic"/>
    <d v="2026-05-20T00:00:00"/>
    <d v="2026-06-25T00:00:00"/>
    <n v="1466839"/>
    <n v="39615"/>
    <n v="1427224"/>
    <x v="0"/>
    <x v="1"/>
    <s v="Yes"/>
    <s v="No"/>
    <n v="3.3"/>
    <x v="0"/>
    <n v="6"/>
    <s v="June"/>
  </r>
  <r>
    <s v="C0018"/>
    <s v="Vikram Rao"/>
    <n v="34"/>
    <x v="0"/>
    <x v="1"/>
    <s v="Tamil Nadu"/>
    <s v="Mahindra"/>
    <x v="1"/>
    <x v="1"/>
    <x v="0"/>
    <s v="Manual"/>
    <d v="2025-10-11T00:00:00"/>
    <d v="2025-11-11T00:00:00"/>
    <n v="1729106"/>
    <n v="63364"/>
    <n v="1665742"/>
    <x v="3"/>
    <x v="0"/>
    <s v="No"/>
    <s v="Yes"/>
    <n v="4.3"/>
    <x v="0"/>
    <n v="11"/>
    <s v="November"/>
  </r>
  <r>
    <s v="C0019"/>
    <s v="Anjali Verma"/>
    <n v="32"/>
    <x v="0"/>
    <x v="4"/>
    <s v="Karnataka"/>
    <s v="Mahindra"/>
    <x v="0"/>
    <x v="3"/>
    <x v="1"/>
    <s v="Manual"/>
    <d v="2025-05-18T00:00:00"/>
    <d v="2025-05-26T00:00:00"/>
    <n v="1715875"/>
    <n v="40335"/>
    <n v="1675540"/>
    <x v="2"/>
    <x v="3"/>
    <s v="No"/>
    <s v="No"/>
    <n v="3.7"/>
    <x v="2"/>
    <n v="5"/>
    <s v="May"/>
  </r>
  <r>
    <s v="C0020"/>
    <s v="Anjali Verma"/>
    <n v="36"/>
    <x v="1"/>
    <x v="1"/>
    <s v="Tamil Nadu"/>
    <s v="Mahindra"/>
    <x v="1"/>
    <x v="1"/>
    <x v="1"/>
    <s v="Manual"/>
    <d v="2025-12-11T00:00:00"/>
    <d v="2025-12-31T00:00:00"/>
    <n v="1326176"/>
    <n v="35470"/>
    <n v="1290706"/>
    <x v="3"/>
    <x v="3"/>
    <s v="Yes"/>
    <s v="No"/>
    <n v="4.5999999999999996"/>
    <x v="1"/>
    <n v="12"/>
    <s v="December"/>
  </r>
  <r>
    <s v="C0021"/>
    <s v="Rohit Singh"/>
    <n v="28"/>
    <x v="0"/>
    <x v="5"/>
    <s v="Tamil Nadu"/>
    <s v="Mahindra"/>
    <x v="1"/>
    <x v="4"/>
    <x v="1"/>
    <s v="Manual"/>
    <d v="2025-07-24T00:00:00"/>
    <d v="2025-09-05T00:00:00"/>
    <n v="1738519"/>
    <n v="44111"/>
    <n v="1694408"/>
    <x v="4"/>
    <x v="2"/>
    <s v="No"/>
    <s v="Yes"/>
    <n v="4.2"/>
    <x v="0"/>
    <n v="9"/>
    <s v="September"/>
  </r>
  <r>
    <s v="C0022"/>
    <s v="Arjun Kumar"/>
    <n v="53"/>
    <x v="1"/>
    <x v="5"/>
    <s v="Tamil Nadu"/>
    <s v="Mahindra"/>
    <x v="0"/>
    <x v="4"/>
    <x v="1"/>
    <s v="Automatic"/>
    <d v="2026-05-08T00:00:00"/>
    <d v="2026-06-14T00:00:00"/>
    <n v="1564755"/>
    <n v="29125"/>
    <n v="1535630"/>
    <x v="3"/>
    <x v="3"/>
    <s v="No"/>
    <s v="Yes"/>
    <n v="3.8"/>
    <x v="0"/>
    <n v="6"/>
    <s v="June"/>
  </r>
  <r>
    <s v="C0023"/>
    <s v="Rohit Singh"/>
    <n v="28"/>
    <x v="0"/>
    <x v="1"/>
    <s v="Tamil Nadu"/>
    <s v="Mahindra"/>
    <x v="0"/>
    <x v="2"/>
    <x v="0"/>
    <s v="Automatic"/>
    <d v="2025-02-18T00:00:00"/>
    <d v="2025-02-27T00:00:00"/>
    <n v="1560284"/>
    <n v="69829"/>
    <n v="1490455"/>
    <x v="4"/>
    <x v="1"/>
    <s v="No"/>
    <s v="Yes"/>
    <n v="3"/>
    <x v="2"/>
    <n v="2"/>
    <s v="February"/>
  </r>
  <r>
    <s v="C0024"/>
    <s v="Rahul Sharma"/>
    <n v="27"/>
    <x v="1"/>
    <x v="2"/>
    <s v="Tamil Nadu"/>
    <s v="Mahindra"/>
    <x v="1"/>
    <x v="3"/>
    <x v="1"/>
    <s v="Automatic"/>
    <d v="2026-04-01T00:00:00"/>
    <d v="2026-04-13T00:00:00"/>
    <n v="1341915"/>
    <n v="11203"/>
    <n v="1330712"/>
    <x v="3"/>
    <x v="4"/>
    <s v="Yes"/>
    <s v="No"/>
    <n v="4.2"/>
    <x v="1"/>
    <n v="4"/>
    <s v="April"/>
  </r>
  <r>
    <s v="C0025"/>
    <s v="Arjun Kumar"/>
    <n v="26"/>
    <x v="1"/>
    <x v="1"/>
    <s v="Tamil Nadu"/>
    <s v="Mahindra"/>
    <x v="1"/>
    <x v="1"/>
    <x v="1"/>
    <s v="Automatic"/>
    <d v="2026-03-31T00:00:00"/>
    <d v="2026-05-01T00:00:00"/>
    <n v="1602716"/>
    <n v="97101"/>
    <n v="1505615"/>
    <x v="3"/>
    <x v="0"/>
    <s v="Yes"/>
    <s v="No"/>
    <n v="3"/>
    <x v="0"/>
    <n v="5"/>
    <s v="May"/>
  </r>
  <r>
    <s v="C0026"/>
    <s v="Rahul Sharma"/>
    <n v="34"/>
    <x v="1"/>
    <x v="5"/>
    <s v="Tamil Nadu"/>
    <s v="Mahindra"/>
    <x v="2"/>
    <x v="3"/>
    <x v="1"/>
    <s v="Automatic"/>
    <d v="2025-11-06T00:00:00"/>
    <d v="2025-11-22T00:00:00"/>
    <n v="1695609"/>
    <n v="60712"/>
    <n v="1634897"/>
    <x v="4"/>
    <x v="3"/>
    <s v="Yes"/>
    <s v="No"/>
    <n v="3.6"/>
    <x v="1"/>
    <n v="11"/>
    <s v="November"/>
  </r>
  <r>
    <s v="C0027"/>
    <s v="Priya Nair"/>
    <n v="46"/>
    <x v="0"/>
    <x v="0"/>
    <s v="Telangana"/>
    <s v="Mahindra"/>
    <x v="1"/>
    <x v="4"/>
    <x v="1"/>
    <s v="Automatic"/>
    <d v="2025-06-24T00:00:00"/>
    <d v="2025-07-28T00:00:00"/>
    <n v="1755679"/>
    <n v="80855"/>
    <n v="1674824"/>
    <x v="2"/>
    <x v="3"/>
    <s v="No"/>
    <s v="Yes"/>
    <n v="3.8"/>
    <x v="0"/>
    <n v="7"/>
    <s v="July"/>
  </r>
  <r>
    <s v="C0028"/>
    <s v="Karthik S"/>
    <n v="28"/>
    <x v="0"/>
    <x v="3"/>
    <s v="Maharashtra"/>
    <s v="Mahindra"/>
    <x v="0"/>
    <x v="3"/>
    <x v="0"/>
    <s v="Automatic"/>
    <d v="2025-02-16T00:00:00"/>
    <d v="2025-02-26T00:00:00"/>
    <n v="1411976"/>
    <n v="25316"/>
    <n v="1386660"/>
    <x v="4"/>
    <x v="2"/>
    <s v="No"/>
    <s v="Yes"/>
    <n v="4.9000000000000004"/>
    <x v="2"/>
    <n v="2"/>
    <s v="February"/>
  </r>
  <r>
    <s v="C0029"/>
    <s v="Rohit Singh"/>
    <n v="46"/>
    <x v="0"/>
    <x v="1"/>
    <s v="Tamil Nadu"/>
    <s v="Mahindra"/>
    <x v="1"/>
    <x v="3"/>
    <x v="0"/>
    <s v="Automatic"/>
    <d v="2025-02-14T00:00:00"/>
    <d v="2025-03-03T00:00:00"/>
    <n v="1783243"/>
    <n v="55949"/>
    <n v="1727294"/>
    <x v="3"/>
    <x v="3"/>
    <s v="No"/>
    <s v="Yes"/>
    <n v="4"/>
    <x v="1"/>
    <n v="3"/>
    <s v="March"/>
  </r>
  <r>
    <s v="C0030"/>
    <s v="Rohit Singh"/>
    <n v="52"/>
    <x v="1"/>
    <x v="2"/>
    <s v="Tamil Nadu"/>
    <s v="Mahindra"/>
    <x v="1"/>
    <x v="0"/>
    <x v="0"/>
    <s v="Automatic"/>
    <d v="2026-05-17T00:00:00"/>
    <d v="2026-06-19T00:00:00"/>
    <n v="1661232"/>
    <n v="98231"/>
    <n v="1563001"/>
    <x v="1"/>
    <x v="3"/>
    <s v="Yes"/>
    <s v="Yes"/>
    <n v="4.9000000000000004"/>
    <x v="0"/>
    <n v="6"/>
    <s v="June"/>
  </r>
  <r>
    <s v="C0031"/>
    <s v="Vikram Rao"/>
    <n v="29"/>
    <x v="0"/>
    <x v="4"/>
    <s v="Karnataka"/>
    <s v="Mahindra"/>
    <x v="0"/>
    <x v="4"/>
    <x v="0"/>
    <s v="Manual"/>
    <d v="2025-07-11T00:00:00"/>
    <d v="2025-08-23T00:00:00"/>
    <n v="1411679"/>
    <n v="67531"/>
    <n v="1344148"/>
    <x v="3"/>
    <x v="1"/>
    <s v="Yes"/>
    <s v="Yes"/>
    <n v="3.5"/>
    <x v="0"/>
    <n v="8"/>
    <s v="August"/>
  </r>
  <r>
    <s v="C0032"/>
    <s v="Meera Iyer"/>
    <n v="41"/>
    <x v="0"/>
    <x v="0"/>
    <s v="Telangana"/>
    <s v="Mahindra"/>
    <x v="0"/>
    <x v="1"/>
    <x v="1"/>
    <s v="Manual"/>
    <d v="2025-12-20T00:00:00"/>
    <d v="2026-01-26T00:00:00"/>
    <n v="1838705"/>
    <n v="86368"/>
    <n v="1752337"/>
    <x v="2"/>
    <x v="1"/>
    <s v="No"/>
    <s v="No"/>
    <n v="3.4"/>
    <x v="0"/>
    <n v="1"/>
    <s v="January"/>
  </r>
  <r>
    <s v="C0033"/>
    <s v="Vikram Rao"/>
    <n v="44"/>
    <x v="1"/>
    <x v="0"/>
    <s v="Telangana"/>
    <s v="Mahindra"/>
    <x v="0"/>
    <x v="0"/>
    <x v="1"/>
    <s v="Automatic"/>
    <d v="2025-11-05T00:00:00"/>
    <d v="2025-11-21T00:00:00"/>
    <n v="1864265"/>
    <n v="34488"/>
    <n v="1829777"/>
    <x v="2"/>
    <x v="1"/>
    <s v="No"/>
    <s v="Yes"/>
    <n v="3.4"/>
    <x v="1"/>
    <n v="11"/>
    <s v="November"/>
  </r>
  <r>
    <s v="C0034"/>
    <s v="Rahul Sharma"/>
    <n v="60"/>
    <x v="1"/>
    <x v="3"/>
    <s v="Maharashtra"/>
    <s v="Mahindra"/>
    <x v="1"/>
    <x v="0"/>
    <x v="1"/>
    <s v="Manual"/>
    <d v="2026-06-07T00:00:00"/>
    <d v="2026-07-09T00:00:00"/>
    <n v="1402322"/>
    <n v="45430"/>
    <n v="1356892"/>
    <x v="1"/>
    <x v="3"/>
    <s v="No"/>
    <s v="No"/>
    <n v="4.7"/>
    <x v="0"/>
    <n v="7"/>
    <s v="July"/>
  </r>
  <r>
    <s v="C0035"/>
    <s v="Anjali Verma"/>
    <n v="46"/>
    <x v="0"/>
    <x v="5"/>
    <s v="Tamil Nadu"/>
    <s v="Mahindra"/>
    <x v="1"/>
    <x v="3"/>
    <x v="1"/>
    <s v="Manual"/>
    <d v="2026-01-08T00:00:00"/>
    <d v="2026-01-19T00:00:00"/>
    <n v="1309934"/>
    <n v="61599"/>
    <n v="1248335"/>
    <x v="0"/>
    <x v="1"/>
    <s v="Yes"/>
    <s v="Yes"/>
    <n v="3.4"/>
    <x v="1"/>
    <n v="1"/>
    <s v="January"/>
  </r>
  <r>
    <s v="C0036"/>
    <s v="Anjali Verma"/>
    <n v="44"/>
    <x v="1"/>
    <x v="3"/>
    <s v="Maharashtra"/>
    <s v="Mahindra"/>
    <x v="1"/>
    <x v="1"/>
    <x v="0"/>
    <s v="Manual"/>
    <d v="2026-06-10T00:00:00"/>
    <d v="2026-07-08T00:00:00"/>
    <n v="1584125"/>
    <n v="47402"/>
    <n v="1536723"/>
    <x v="1"/>
    <x v="3"/>
    <s v="Yes"/>
    <s v="No"/>
    <n v="4.7"/>
    <x v="0"/>
    <n v="7"/>
    <s v="July"/>
  </r>
  <r>
    <s v="C0037"/>
    <s v="Anjali Verma"/>
    <n v="45"/>
    <x v="0"/>
    <x v="5"/>
    <s v="Tamil Nadu"/>
    <s v="Mahindra"/>
    <x v="1"/>
    <x v="1"/>
    <x v="1"/>
    <s v="Manual"/>
    <d v="2025-04-20T00:00:00"/>
    <d v="2025-04-30T00:00:00"/>
    <n v="1571221"/>
    <n v="70725"/>
    <n v="1500496"/>
    <x v="0"/>
    <x v="2"/>
    <s v="No"/>
    <s v="No"/>
    <n v="3.4"/>
    <x v="2"/>
    <n v="4"/>
    <s v="April"/>
  </r>
  <r>
    <s v="C0038"/>
    <s v="Rohit Singh"/>
    <n v="41"/>
    <x v="1"/>
    <x v="5"/>
    <s v="Tamil Nadu"/>
    <s v="Mahindra"/>
    <x v="1"/>
    <x v="0"/>
    <x v="0"/>
    <s v="Manual"/>
    <d v="2026-01-29T00:00:00"/>
    <d v="2026-02-10T00:00:00"/>
    <n v="1669972"/>
    <n v="30214"/>
    <n v="1639758"/>
    <x v="1"/>
    <x v="3"/>
    <s v="Yes"/>
    <s v="No"/>
    <n v="4.7"/>
    <x v="1"/>
    <n v="2"/>
    <s v="February"/>
  </r>
  <r>
    <s v="C0039"/>
    <s v="Priya Nair"/>
    <n v="28"/>
    <x v="0"/>
    <x v="1"/>
    <s v="Tamil Nadu"/>
    <s v="Mahindra"/>
    <x v="0"/>
    <x v="0"/>
    <x v="0"/>
    <s v="Automatic"/>
    <d v="2026-03-14T00:00:00"/>
    <d v="2026-03-25T00:00:00"/>
    <n v="1837556"/>
    <n v="88095"/>
    <n v="1749461"/>
    <x v="3"/>
    <x v="0"/>
    <s v="Yes"/>
    <s v="Yes"/>
    <n v="3.5"/>
    <x v="1"/>
    <n v="3"/>
    <s v="March"/>
  </r>
  <r>
    <s v="C0040"/>
    <s v="Anjali Verma"/>
    <n v="49"/>
    <x v="0"/>
    <x v="3"/>
    <s v="Maharashtra"/>
    <s v="Mahindra"/>
    <x v="0"/>
    <x v="3"/>
    <x v="0"/>
    <s v="Manual"/>
    <d v="2025-05-09T00:00:00"/>
    <d v="2025-06-22T00:00:00"/>
    <n v="1417029"/>
    <n v="93693"/>
    <n v="1323336"/>
    <x v="2"/>
    <x v="4"/>
    <s v="Yes"/>
    <s v="Yes"/>
    <n v="4.2"/>
    <x v="0"/>
    <n v="6"/>
    <s v="June"/>
  </r>
  <r>
    <s v="C0041"/>
    <s v="Pooja Das"/>
    <n v="44"/>
    <x v="1"/>
    <x v="4"/>
    <s v="Karnataka"/>
    <s v="Mahindra"/>
    <x v="0"/>
    <x v="3"/>
    <x v="1"/>
    <s v="Manual"/>
    <d v="2025-04-27T00:00:00"/>
    <d v="2025-05-13T00:00:00"/>
    <n v="1546742"/>
    <n v="51783"/>
    <n v="1494959"/>
    <x v="4"/>
    <x v="2"/>
    <s v="Yes"/>
    <s v="Yes"/>
    <n v="4.7"/>
    <x v="1"/>
    <n v="5"/>
    <s v="May"/>
  </r>
  <r>
    <s v="C0042"/>
    <s v="Meera Iyer"/>
    <n v="54"/>
    <x v="0"/>
    <x v="4"/>
    <s v="Karnataka"/>
    <s v="Mahindra"/>
    <x v="0"/>
    <x v="1"/>
    <x v="1"/>
    <s v="Manual"/>
    <d v="2025-03-02T00:00:00"/>
    <d v="2025-03-30T00:00:00"/>
    <n v="1343401"/>
    <n v="10386"/>
    <n v="1333015"/>
    <x v="3"/>
    <x v="0"/>
    <s v="Yes"/>
    <s v="Yes"/>
    <n v="4.5999999999999996"/>
    <x v="0"/>
    <n v="3"/>
    <s v="March"/>
  </r>
  <r>
    <s v="C0043"/>
    <s v="Anjali Verma"/>
    <n v="43"/>
    <x v="1"/>
    <x v="3"/>
    <s v="Maharashtra"/>
    <s v="Mahindra"/>
    <x v="1"/>
    <x v="2"/>
    <x v="1"/>
    <s v="Automatic"/>
    <d v="2025-02-16T00:00:00"/>
    <d v="2025-02-25T00:00:00"/>
    <n v="1540366"/>
    <n v="39417"/>
    <n v="1500949"/>
    <x v="0"/>
    <x v="3"/>
    <s v="Yes"/>
    <s v="Yes"/>
    <n v="4.7"/>
    <x v="2"/>
    <n v="2"/>
    <s v="February"/>
  </r>
  <r>
    <s v="C0044"/>
    <s v="Karthik S"/>
    <n v="46"/>
    <x v="0"/>
    <x v="0"/>
    <s v="Telangana"/>
    <s v="Mahindra"/>
    <x v="0"/>
    <x v="4"/>
    <x v="0"/>
    <s v="Manual"/>
    <d v="2025-01-02T00:00:00"/>
    <d v="2025-01-26T00:00:00"/>
    <n v="1571836"/>
    <n v="55094"/>
    <n v="1516742"/>
    <x v="2"/>
    <x v="4"/>
    <s v="Yes"/>
    <s v="No"/>
    <n v="4.5999999999999996"/>
    <x v="0"/>
    <n v="1"/>
    <s v="January"/>
  </r>
  <r>
    <s v="C0045"/>
    <s v="Meera Iyer"/>
    <n v="36"/>
    <x v="1"/>
    <x v="2"/>
    <s v="Tamil Nadu"/>
    <s v="Mahindra"/>
    <x v="0"/>
    <x v="0"/>
    <x v="1"/>
    <s v="Manual"/>
    <d v="2025-11-15T00:00:00"/>
    <d v="2025-11-28T00:00:00"/>
    <n v="1307901"/>
    <n v="57470"/>
    <n v="1250431"/>
    <x v="1"/>
    <x v="1"/>
    <s v="Yes"/>
    <s v="No"/>
    <n v="4.0999999999999996"/>
    <x v="1"/>
    <n v="11"/>
    <s v="November"/>
  </r>
  <r>
    <s v="C0046"/>
    <s v="Pooja Das"/>
    <n v="35"/>
    <x v="0"/>
    <x v="5"/>
    <s v="Tamil Nadu"/>
    <s v="Mahindra"/>
    <x v="0"/>
    <x v="1"/>
    <x v="0"/>
    <s v="Manual"/>
    <d v="2026-01-09T00:00:00"/>
    <d v="2026-01-26T00:00:00"/>
    <n v="1414559"/>
    <n v="64901"/>
    <n v="1349658"/>
    <x v="4"/>
    <x v="4"/>
    <s v="Yes"/>
    <s v="Yes"/>
    <n v="3.5"/>
    <x v="1"/>
    <n v="1"/>
    <s v="January"/>
  </r>
  <r>
    <s v="C0047"/>
    <s v="Rohit Singh"/>
    <n v="26"/>
    <x v="0"/>
    <x v="5"/>
    <s v="Tamil Nadu"/>
    <s v="Mahindra"/>
    <x v="0"/>
    <x v="3"/>
    <x v="1"/>
    <s v="Automatic"/>
    <d v="2026-04-19T00:00:00"/>
    <d v="2026-05-11T00:00:00"/>
    <n v="1825734"/>
    <n v="14057"/>
    <n v="1811677"/>
    <x v="2"/>
    <x v="3"/>
    <s v="Yes"/>
    <s v="No"/>
    <n v="3.9"/>
    <x v="0"/>
    <n v="5"/>
    <s v="May"/>
  </r>
  <r>
    <s v="C0048"/>
    <s v="Sneha Patel"/>
    <n v="37"/>
    <x v="1"/>
    <x v="5"/>
    <s v="Tamil Nadu"/>
    <s v="Mahindra"/>
    <x v="0"/>
    <x v="3"/>
    <x v="0"/>
    <s v="Automatic"/>
    <d v="2026-01-17T00:00:00"/>
    <d v="2026-02-21T00:00:00"/>
    <n v="1405766"/>
    <n v="64334"/>
    <n v="1341432"/>
    <x v="4"/>
    <x v="3"/>
    <s v="Yes"/>
    <s v="No"/>
    <n v="3.1"/>
    <x v="0"/>
    <n v="2"/>
    <s v="February"/>
  </r>
  <r>
    <s v="C0049"/>
    <s v="Pooja Das"/>
    <n v="24"/>
    <x v="1"/>
    <x v="0"/>
    <s v="Telangana"/>
    <s v="Mahindra"/>
    <x v="1"/>
    <x v="1"/>
    <x v="1"/>
    <s v="Automatic"/>
    <d v="2025-05-09T00:00:00"/>
    <d v="2025-05-24T00:00:00"/>
    <n v="1575756"/>
    <n v="14900"/>
    <n v="1560856"/>
    <x v="0"/>
    <x v="3"/>
    <s v="Yes"/>
    <s v="Yes"/>
    <n v="4.9000000000000004"/>
    <x v="1"/>
    <n v="5"/>
    <s v="May"/>
  </r>
  <r>
    <s v="C0050"/>
    <s v="Arjun Kumar"/>
    <n v="21"/>
    <x v="1"/>
    <x v="5"/>
    <s v="Tamil Nadu"/>
    <s v="Mahindra"/>
    <x v="1"/>
    <x v="3"/>
    <x v="0"/>
    <s v="Automatic"/>
    <d v="2026-06-03T00:00:00"/>
    <d v="2026-06-14T00:00:00"/>
    <n v="1658526"/>
    <n v="21509"/>
    <n v="1637017"/>
    <x v="3"/>
    <x v="1"/>
    <s v="No"/>
    <s v="No"/>
    <n v="3.1"/>
    <x v="1"/>
    <n v="6"/>
    <s v="June"/>
  </r>
  <r>
    <s v="C0051"/>
    <s v="Pooja Das"/>
    <n v="60"/>
    <x v="0"/>
    <x v="0"/>
    <s v="Telangana"/>
    <s v="Mahindra"/>
    <x v="1"/>
    <x v="2"/>
    <x v="0"/>
    <s v="Automatic"/>
    <d v="2025-08-31T00:00:00"/>
    <d v="2025-10-15T00:00:00"/>
    <n v="1350981"/>
    <n v="65937"/>
    <n v="1285044"/>
    <x v="1"/>
    <x v="3"/>
    <s v="No"/>
    <s v="No"/>
    <n v="3.7"/>
    <x v="0"/>
    <n v="10"/>
    <s v="October"/>
  </r>
  <r>
    <s v="C0052"/>
    <s v="Anjali Verma"/>
    <n v="34"/>
    <x v="0"/>
    <x v="0"/>
    <s v="Telangana"/>
    <s v="Mahindra"/>
    <x v="0"/>
    <x v="4"/>
    <x v="1"/>
    <s v="Manual"/>
    <d v="2025-09-13T00:00:00"/>
    <d v="2025-10-07T00:00:00"/>
    <n v="1623825"/>
    <n v="58663"/>
    <n v="1565162"/>
    <x v="1"/>
    <x v="0"/>
    <s v="Yes"/>
    <s v="No"/>
    <n v="4.9000000000000004"/>
    <x v="0"/>
    <n v="10"/>
    <s v="October"/>
  </r>
  <r>
    <s v="C0053"/>
    <s v="Rahul Sharma"/>
    <n v="37"/>
    <x v="1"/>
    <x v="2"/>
    <s v="Tamil Nadu"/>
    <s v="Mahindra"/>
    <x v="0"/>
    <x v="2"/>
    <x v="0"/>
    <s v="Automatic"/>
    <d v="2025-12-14T00:00:00"/>
    <d v="2026-01-17T00:00:00"/>
    <n v="1771447"/>
    <n v="99003"/>
    <n v="1672444"/>
    <x v="3"/>
    <x v="3"/>
    <s v="No"/>
    <s v="Yes"/>
    <n v="4.8"/>
    <x v="0"/>
    <n v="1"/>
    <s v="January"/>
  </r>
  <r>
    <s v="C0054"/>
    <s v="Anjali Verma"/>
    <n v="37"/>
    <x v="1"/>
    <x v="2"/>
    <s v="Tamil Nadu"/>
    <s v="Mahindra"/>
    <x v="0"/>
    <x v="2"/>
    <x v="0"/>
    <s v="Manual"/>
    <d v="2025-06-05T00:00:00"/>
    <d v="2025-07-11T00:00:00"/>
    <n v="1415346"/>
    <n v="74389"/>
    <n v="1340957"/>
    <x v="4"/>
    <x v="2"/>
    <s v="Yes"/>
    <s v="No"/>
    <n v="3.1"/>
    <x v="0"/>
    <n v="7"/>
    <s v="July"/>
  </r>
  <r>
    <s v="C0055"/>
    <s v="Rahul Sharma"/>
    <n v="28"/>
    <x v="0"/>
    <x v="4"/>
    <s v="Karnataka"/>
    <s v="Mahindra"/>
    <x v="0"/>
    <x v="0"/>
    <x v="1"/>
    <s v="Automatic"/>
    <d v="2025-02-27T00:00:00"/>
    <d v="2025-03-09T00:00:00"/>
    <n v="1709268"/>
    <n v="35229"/>
    <n v="1674039"/>
    <x v="2"/>
    <x v="0"/>
    <s v="No"/>
    <s v="Yes"/>
    <n v="3.6"/>
    <x v="2"/>
    <n v="3"/>
    <s v="March"/>
  </r>
  <r>
    <s v="C0056"/>
    <s v="Anjali Verma"/>
    <n v="44"/>
    <x v="0"/>
    <x v="1"/>
    <s v="Tamil Nadu"/>
    <s v="Mahindra"/>
    <x v="0"/>
    <x v="2"/>
    <x v="1"/>
    <s v="Manual"/>
    <d v="2025-04-02T00:00:00"/>
    <d v="2025-05-06T00:00:00"/>
    <n v="1336973"/>
    <n v="12116"/>
    <n v="1324857"/>
    <x v="3"/>
    <x v="1"/>
    <s v="Yes"/>
    <s v="Yes"/>
    <n v="4.5999999999999996"/>
    <x v="0"/>
    <n v="5"/>
    <s v="May"/>
  </r>
  <r>
    <s v="C0057"/>
    <s v="Meera Iyer"/>
    <n v="46"/>
    <x v="0"/>
    <x v="0"/>
    <s v="Telangana"/>
    <s v="Mahindra"/>
    <x v="0"/>
    <x v="0"/>
    <x v="0"/>
    <s v="Manual"/>
    <d v="2026-04-15T00:00:00"/>
    <d v="2026-05-14T00:00:00"/>
    <n v="1486087"/>
    <n v="84960"/>
    <n v="1401127"/>
    <x v="4"/>
    <x v="1"/>
    <s v="No"/>
    <s v="No"/>
    <n v="3.2"/>
    <x v="0"/>
    <n v="5"/>
    <s v="May"/>
  </r>
  <r>
    <s v="C0058"/>
    <s v="Rahul Sharma"/>
    <n v="36"/>
    <x v="0"/>
    <x v="2"/>
    <s v="Tamil Nadu"/>
    <s v="Mahindra"/>
    <x v="1"/>
    <x v="3"/>
    <x v="0"/>
    <s v="Automatic"/>
    <d v="2025-05-14T00:00:00"/>
    <d v="2025-06-26T00:00:00"/>
    <n v="1327986"/>
    <n v="17213"/>
    <n v="1310773"/>
    <x v="0"/>
    <x v="1"/>
    <s v="No"/>
    <s v="Yes"/>
    <n v="4.5999999999999996"/>
    <x v="0"/>
    <n v="6"/>
    <s v="June"/>
  </r>
  <r>
    <s v="C0059"/>
    <s v="Vikram Rao"/>
    <n v="39"/>
    <x v="1"/>
    <x v="3"/>
    <s v="Maharashtra"/>
    <s v="Mahindra"/>
    <x v="1"/>
    <x v="1"/>
    <x v="1"/>
    <s v="Manual"/>
    <d v="2025-03-25T00:00:00"/>
    <d v="2025-04-18T00:00:00"/>
    <n v="1751645"/>
    <n v="51359"/>
    <n v="1700286"/>
    <x v="0"/>
    <x v="4"/>
    <s v="Yes"/>
    <s v="Yes"/>
    <n v="4.5999999999999996"/>
    <x v="0"/>
    <n v="4"/>
    <s v="April"/>
  </r>
  <r>
    <s v="C0060"/>
    <s v="Karthik S"/>
    <n v="38"/>
    <x v="0"/>
    <x v="1"/>
    <s v="Tamil Nadu"/>
    <s v="Mahindra"/>
    <x v="0"/>
    <x v="3"/>
    <x v="0"/>
    <s v="Automatic"/>
    <d v="2026-01-23T00:00:00"/>
    <d v="2026-02-23T00:00:00"/>
    <n v="1790110"/>
    <n v="28653"/>
    <n v="1761457"/>
    <x v="1"/>
    <x v="4"/>
    <s v="No"/>
    <s v="Yes"/>
    <n v="4.9000000000000004"/>
    <x v="0"/>
    <n v="2"/>
    <s v="February"/>
  </r>
  <r>
    <s v="C0061"/>
    <s v="Arjun Kumar"/>
    <n v="48"/>
    <x v="1"/>
    <x v="0"/>
    <s v="Telangana"/>
    <s v="Mahindra"/>
    <x v="2"/>
    <x v="3"/>
    <x v="1"/>
    <s v="Manual"/>
    <d v="2026-03-30T00:00:00"/>
    <d v="2026-04-29T00:00:00"/>
    <n v="1648233"/>
    <n v="58256"/>
    <n v="1589977"/>
    <x v="3"/>
    <x v="4"/>
    <s v="No"/>
    <s v="Yes"/>
    <n v="4.9000000000000004"/>
    <x v="0"/>
    <n v="4"/>
    <s v="April"/>
  </r>
  <r>
    <s v="C0062"/>
    <s v="Vikram Rao"/>
    <n v="53"/>
    <x v="1"/>
    <x v="4"/>
    <s v="Karnataka"/>
    <s v="Mahindra"/>
    <x v="0"/>
    <x v="0"/>
    <x v="1"/>
    <s v="Automatic"/>
    <d v="2025-12-11T00:00:00"/>
    <d v="2026-01-14T00:00:00"/>
    <n v="1769955"/>
    <n v="45695"/>
    <n v="1724260"/>
    <x v="2"/>
    <x v="0"/>
    <s v="Yes"/>
    <s v="Yes"/>
    <n v="4"/>
    <x v="0"/>
    <n v="1"/>
    <s v="January"/>
  </r>
  <r>
    <s v="C0063"/>
    <s v="Rahul Sharma"/>
    <n v="50"/>
    <x v="0"/>
    <x v="4"/>
    <s v="Karnataka"/>
    <s v="Mahindra"/>
    <x v="2"/>
    <x v="1"/>
    <x v="1"/>
    <s v="Automatic"/>
    <d v="2026-03-06T00:00:00"/>
    <d v="2026-04-15T00:00:00"/>
    <n v="1703444"/>
    <n v="86793"/>
    <n v="1616651"/>
    <x v="3"/>
    <x v="2"/>
    <s v="No"/>
    <s v="Yes"/>
    <n v="3.6"/>
    <x v="0"/>
    <n v="4"/>
    <s v="April"/>
  </r>
  <r>
    <s v="C0064"/>
    <s v="Karthik S"/>
    <n v="26"/>
    <x v="1"/>
    <x v="4"/>
    <s v="Karnataka"/>
    <s v="Mahindra"/>
    <x v="2"/>
    <x v="4"/>
    <x v="0"/>
    <s v="Manual"/>
    <d v="2026-03-14T00:00:00"/>
    <d v="2026-04-03T00:00:00"/>
    <n v="1319038"/>
    <n v="44729"/>
    <n v="1274309"/>
    <x v="0"/>
    <x v="1"/>
    <s v="No"/>
    <s v="No"/>
    <n v="3.9"/>
    <x v="1"/>
    <n v="4"/>
    <s v="April"/>
  </r>
  <r>
    <s v="C0065"/>
    <s v="Priya Nair"/>
    <n v="22"/>
    <x v="0"/>
    <x v="4"/>
    <s v="Karnataka"/>
    <s v="Mahindra"/>
    <x v="1"/>
    <x v="3"/>
    <x v="1"/>
    <s v="Automatic"/>
    <d v="2025-11-06T00:00:00"/>
    <d v="2025-11-24T00:00:00"/>
    <n v="1407782"/>
    <n v="16872"/>
    <n v="1390910"/>
    <x v="2"/>
    <x v="1"/>
    <s v="Yes"/>
    <s v="Yes"/>
    <n v="3.8"/>
    <x v="1"/>
    <n v="11"/>
    <s v="November"/>
  </r>
  <r>
    <s v="C0066"/>
    <s v="Meera Iyer"/>
    <n v="23"/>
    <x v="0"/>
    <x v="4"/>
    <s v="Karnataka"/>
    <s v="Mahindra"/>
    <x v="2"/>
    <x v="4"/>
    <x v="1"/>
    <s v="Manual"/>
    <d v="2025-07-31T00:00:00"/>
    <d v="2025-08-16T00:00:00"/>
    <n v="1463466"/>
    <n v="43190"/>
    <n v="1420276"/>
    <x v="2"/>
    <x v="0"/>
    <s v="Yes"/>
    <s v="No"/>
    <n v="4.5999999999999996"/>
    <x v="1"/>
    <n v="8"/>
    <s v="August"/>
  </r>
  <r>
    <s v="C0067"/>
    <s v="Karthik S"/>
    <n v="50"/>
    <x v="1"/>
    <x v="2"/>
    <s v="Tamil Nadu"/>
    <s v="Mahindra"/>
    <x v="2"/>
    <x v="0"/>
    <x v="1"/>
    <s v="Automatic"/>
    <d v="2026-01-09T00:00:00"/>
    <d v="2026-01-30T00:00:00"/>
    <n v="1782712"/>
    <n v="45667"/>
    <n v="1737045"/>
    <x v="3"/>
    <x v="3"/>
    <s v="Yes"/>
    <s v="No"/>
    <n v="3.1"/>
    <x v="0"/>
    <n v="1"/>
    <s v="January"/>
  </r>
  <r>
    <s v="C0068"/>
    <s v="Sneha Patel"/>
    <n v="25"/>
    <x v="1"/>
    <x v="0"/>
    <s v="Telangana"/>
    <s v="Mahindra"/>
    <x v="0"/>
    <x v="2"/>
    <x v="0"/>
    <s v="Automatic"/>
    <d v="2026-04-30T00:00:00"/>
    <d v="2026-06-02T00:00:00"/>
    <n v="1341123"/>
    <n v="14182"/>
    <n v="1326941"/>
    <x v="1"/>
    <x v="1"/>
    <s v="No"/>
    <s v="Yes"/>
    <n v="4.8"/>
    <x v="0"/>
    <n v="6"/>
    <s v="June"/>
  </r>
  <r>
    <s v="C0069"/>
    <s v="Sneha Patel"/>
    <n v="35"/>
    <x v="1"/>
    <x v="5"/>
    <s v="Tamil Nadu"/>
    <s v="Mahindra"/>
    <x v="0"/>
    <x v="0"/>
    <x v="1"/>
    <s v="Automatic"/>
    <d v="2025-09-27T00:00:00"/>
    <d v="2025-11-04T00:00:00"/>
    <n v="1434202"/>
    <n v="42161"/>
    <n v="1392041"/>
    <x v="2"/>
    <x v="0"/>
    <s v="Yes"/>
    <s v="No"/>
    <n v="4.3"/>
    <x v="0"/>
    <n v="11"/>
    <s v="November"/>
  </r>
  <r>
    <s v="C0070"/>
    <s v="Anjali Verma"/>
    <n v="51"/>
    <x v="0"/>
    <x v="1"/>
    <s v="Tamil Nadu"/>
    <s v="Mahindra"/>
    <x v="2"/>
    <x v="0"/>
    <x v="0"/>
    <s v="Manual"/>
    <d v="2026-05-14T00:00:00"/>
    <d v="2026-05-26T00:00:00"/>
    <n v="1636554"/>
    <n v="84257"/>
    <n v="1552297"/>
    <x v="2"/>
    <x v="3"/>
    <s v="No"/>
    <s v="Yes"/>
    <n v="4.2"/>
    <x v="1"/>
    <n v="5"/>
    <s v="May"/>
  </r>
  <r>
    <s v="C0071"/>
    <s v="Meera Iyer"/>
    <n v="30"/>
    <x v="1"/>
    <x v="4"/>
    <s v="Karnataka"/>
    <s v="Mahindra"/>
    <x v="1"/>
    <x v="4"/>
    <x v="1"/>
    <s v="Automatic"/>
    <d v="2026-01-15T00:00:00"/>
    <d v="2026-02-16T00:00:00"/>
    <n v="1713494"/>
    <n v="24362"/>
    <n v="1689132"/>
    <x v="4"/>
    <x v="3"/>
    <s v="Yes"/>
    <s v="No"/>
    <n v="4.5"/>
    <x v="0"/>
    <n v="2"/>
    <s v="February"/>
  </r>
  <r>
    <s v="C0072"/>
    <s v="Meera Iyer"/>
    <n v="55"/>
    <x v="0"/>
    <x v="4"/>
    <s v="Karnataka"/>
    <s v="Mahindra"/>
    <x v="2"/>
    <x v="4"/>
    <x v="1"/>
    <s v="Automatic"/>
    <d v="2025-10-10T00:00:00"/>
    <d v="2025-11-16T00:00:00"/>
    <n v="1321144"/>
    <n v="52056"/>
    <n v="1269088"/>
    <x v="4"/>
    <x v="3"/>
    <s v="Yes"/>
    <s v="No"/>
    <n v="3.1"/>
    <x v="0"/>
    <n v="11"/>
    <s v="November"/>
  </r>
  <r>
    <s v="C0073"/>
    <s v="Vikram Rao"/>
    <n v="34"/>
    <x v="1"/>
    <x v="1"/>
    <s v="Tamil Nadu"/>
    <s v="Mahindra"/>
    <x v="0"/>
    <x v="2"/>
    <x v="0"/>
    <s v="Automatic"/>
    <d v="2025-12-15T00:00:00"/>
    <d v="2026-01-23T00:00:00"/>
    <n v="1516719"/>
    <n v="22607"/>
    <n v="1494112"/>
    <x v="3"/>
    <x v="4"/>
    <s v="No"/>
    <s v="Yes"/>
    <n v="4.8"/>
    <x v="0"/>
    <n v="1"/>
    <s v="January"/>
  </r>
  <r>
    <s v="C0074"/>
    <s v="Rohit Singh"/>
    <n v="28"/>
    <x v="0"/>
    <x v="0"/>
    <s v="Telangana"/>
    <s v="Mahindra"/>
    <x v="0"/>
    <x v="1"/>
    <x v="0"/>
    <s v="Manual"/>
    <d v="2026-01-26T00:00:00"/>
    <d v="2026-02-20T00:00:00"/>
    <n v="1742184"/>
    <n v="51077"/>
    <n v="1691107"/>
    <x v="0"/>
    <x v="0"/>
    <s v="No"/>
    <s v="No"/>
    <n v="4.4000000000000004"/>
    <x v="0"/>
    <n v="2"/>
    <s v="February"/>
  </r>
  <r>
    <s v="C0075"/>
    <s v="Meera Iyer"/>
    <n v="57"/>
    <x v="0"/>
    <x v="4"/>
    <s v="Karnataka"/>
    <s v="Mahindra"/>
    <x v="0"/>
    <x v="2"/>
    <x v="1"/>
    <s v="Automatic"/>
    <d v="2025-06-01T00:00:00"/>
    <d v="2025-06-21T00:00:00"/>
    <n v="1837124"/>
    <n v="20011"/>
    <n v="1817113"/>
    <x v="0"/>
    <x v="0"/>
    <s v="Yes"/>
    <s v="No"/>
    <n v="4.4000000000000004"/>
    <x v="1"/>
    <n v="6"/>
    <s v="June"/>
  </r>
  <r>
    <s v="C0076"/>
    <s v="Anjali Verma"/>
    <n v="45"/>
    <x v="0"/>
    <x v="5"/>
    <s v="Tamil Nadu"/>
    <s v="Mahindra"/>
    <x v="1"/>
    <x v="3"/>
    <x v="1"/>
    <s v="Manual"/>
    <d v="2026-04-27T00:00:00"/>
    <d v="2026-05-27T00:00:00"/>
    <n v="1365284"/>
    <n v="82854"/>
    <n v="1282430"/>
    <x v="1"/>
    <x v="2"/>
    <s v="Yes"/>
    <s v="No"/>
    <n v="4.8"/>
    <x v="0"/>
    <n v="5"/>
    <s v="May"/>
  </r>
  <r>
    <s v="C0077"/>
    <s v="Rahul Sharma"/>
    <n v="33"/>
    <x v="0"/>
    <x v="0"/>
    <s v="Telangana"/>
    <s v="Mahindra"/>
    <x v="1"/>
    <x v="0"/>
    <x v="1"/>
    <s v="Automatic"/>
    <d v="2025-06-13T00:00:00"/>
    <d v="2025-06-21T00:00:00"/>
    <n v="1695631"/>
    <n v="13586"/>
    <n v="1682045"/>
    <x v="3"/>
    <x v="0"/>
    <s v="No"/>
    <s v="Yes"/>
    <n v="3.9"/>
    <x v="2"/>
    <n v="6"/>
    <s v="June"/>
  </r>
  <r>
    <s v="C0078"/>
    <s v="Priya Nair"/>
    <n v="28"/>
    <x v="0"/>
    <x v="0"/>
    <s v="Telangana"/>
    <s v="Mahindra"/>
    <x v="1"/>
    <x v="4"/>
    <x v="1"/>
    <s v="Manual"/>
    <d v="2025-08-21T00:00:00"/>
    <d v="2025-09-19T00:00:00"/>
    <n v="1390937"/>
    <n v="90703"/>
    <n v="1300234"/>
    <x v="3"/>
    <x v="1"/>
    <s v="No"/>
    <s v="No"/>
    <n v="3.1"/>
    <x v="0"/>
    <n v="9"/>
    <s v="September"/>
  </r>
  <r>
    <s v="C0079"/>
    <s v="Pooja Das"/>
    <n v="55"/>
    <x v="1"/>
    <x v="1"/>
    <s v="Tamil Nadu"/>
    <s v="Mahindra"/>
    <x v="1"/>
    <x v="4"/>
    <x v="1"/>
    <s v="Automatic"/>
    <d v="2025-01-24T00:00:00"/>
    <d v="2025-03-09T00:00:00"/>
    <n v="1564484"/>
    <n v="83192"/>
    <n v="1481292"/>
    <x v="0"/>
    <x v="0"/>
    <s v="Yes"/>
    <s v="Yes"/>
    <n v="3.1"/>
    <x v="0"/>
    <n v="3"/>
    <s v="March"/>
  </r>
  <r>
    <s v="C0080"/>
    <s v="Meera Iyer"/>
    <n v="39"/>
    <x v="1"/>
    <x v="1"/>
    <s v="Tamil Nadu"/>
    <s v="Mahindra"/>
    <x v="2"/>
    <x v="4"/>
    <x v="1"/>
    <s v="Manual"/>
    <d v="2025-03-15T00:00:00"/>
    <d v="2025-04-23T00:00:00"/>
    <n v="1346560"/>
    <n v="82839"/>
    <n v="1263721"/>
    <x v="3"/>
    <x v="4"/>
    <s v="Yes"/>
    <s v="Yes"/>
    <n v="4.9000000000000004"/>
    <x v="0"/>
    <n v="4"/>
    <s v="April"/>
  </r>
  <r>
    <s v="C0081"/>
    <s v="Arjun Kumar"/>
    <n v="35"/>
    <x v="1"/>
    <x v="1"/>
    <s v="Tamil Nadu"/>
    <s v="Mahindra"/>
    <x v="1"/>
    <x v="3"/>
    <x v="1"/>
    <s v="Manual"/>
    <d v="2025-04-10T00:00:00"/>
    <d v="2025-05-03T00:00:00"/>
    <n v="1568858"/>
    <n v="38455"/>
    <n v="1530403"/>
    <x v="3"/>
    <x v="4"/>
    <s v="Yes"/>
    <s v="No"/>
    <n v="3.8"/>
    <x v="0"/>
    <n v="5"/>
    <s v="May"/>
  </r>
  <r>
    <s v="C0082"/>
    <s v="Pooja Das"/>
    <n v="22"/>
    <x v="0"/>
    <x v="3"/>
    <s v="Maharashtra"/>
    <s v="Mahindra"/>
    <x v="1"/>
    <x v="2"/>
    <x v="1"/>
    <s v="Manual"/>
    <d v="2026-02-20T00:00:00"/>
    <d v="2026-03-09T00:00:00"/>
    <n v="1596344"/>
    <n v="58238"/>
    <n v="1538106"/>
    <x v="0"/>
    <x v="1"/>
    <s v="No"/>
    <s v="Yes"/>
    <n v="3.2"/>
    <x v="1"/>
    <n v="3"/>
    <s v="March"/>
  </r>
  <r>
    <s v="C0083"/>
    <s v="Arjun Kumar"/>
    <n v="48"/>
    <x v="0"/>
    <x v="4"/>
    <s v="Karnataka"/>
    <s v="Mahindra"/>
    <x v="2"/>
    <x v="2"/>
    <x v="1"/>
    <s v="Manual"/>
    <d v="2025-07-13T00:00:00"/>
    <d v="2025-08-02T00:00:00"/>
    <n v="1498111"/>
    <n v="15176"/>
    <n v="1482935"/>
    <x v="2"/>
    <x v="2"/>
    <s v="No"/>
    <s v="Yes"/>
    <n v="3.8"/>
    <x v="1"/>
    <n v="8"/>
    <s v="August"/>
  </r>
  <r>
    <s v="C0084"/>
    <s v="Rohit Singh"/>
    <n v="43"/>
    <x v="1"/>
    <x v="3"/>
    <s v="Maharashtra"/>
    <s v="Mahindra"/>
    <x v="2"/>
    <x v="2"/>
    <x v="0"/>
    <s v="Manual"/>
    <d v="2026-03-27T00:00:00"/>
    <d v="2026-04-26T00:00:00"/>
    <n v="1630419"/>
    <n v="74439"/>
    <n v="1555980"/>
    <x v="3"/>
    <x v="0"/>
    <s v="Yes"/>
    <s v="Yes"/>
    <n v="4.4000000000000004"/>
    <x v="0"/>
    <n v="4"/>
    <s v="April"/>
  </r>
  <r>
    <s v="C0085"/>
    <s v="Karthik S"/>
    <n v="36"/>
    <x v="1"/>
    <x v="4"/>
    <s v="Karnataka"/>
    <s v="Mahindra"/>
    <x v="0"/>
    <x v="2"/>
    <x v="0"/>
    <s v="Manual"/>
    <d v="2026-05-11T00:00:00"/>
    <d v="2026-06-04T00:00:00"/>
    <n v="1756217"/>
    <n v="88704"/>
    <n v="1667513"/>
    <x v="3"/>
    <x v="3"/>
    <s v="Yes"/>
    <s v="Yes"/>
    <n v="3.5"/>
    <x v="0"/>
    <n v="6"/>
    <s v="June"/>
  </r>
  <r>
    <s v="C0086"/>
    <s v="Arjun Kumar"/>
    <n v="45"/>
    <x v="1"/>
    <x v="0"/>
    <s v="Telangana"/>
    <s v="Mahindra"/>
    <x v="2"/>
    <x v="2"/>
    <x v="1"/>
    <s v="Manual"/>
    <d v="2025-03-22T00:00:00"/>
    <d v="2025-05-04T00:00:00"/>
    <n v="1373683"/>
    <n v="99912"/>
    <n v="1273771"/>
    <x v="4"/>
    <x v="1"/>
    <s v="Yes"/>
    <s v="Yes"/>
    <n v="4.7"/>
    <x v="0"/>
    <n v="5"/>
    <s v="May"/>
  </r>
  <r>
    <s v="C0087"/>
    <s v="Sneha Patel"/>
    <n v="56"/>
    <x v="0"/>
    <x v="1"/>
    <s v="Tamil Nadu"/>
    <s v="Mahindra"/>
    <x v="1"/>
    <x v="3"/>
    <x v="1"/>
    <s v="Automatic"/>
    <d v="2026-03-19T00:00:00"/>
    <d v="2026-04-27T00:00:00"/>
    <n v="1483625"/>
    <n v="10091"/>
    <n v="1473534"/>
    <x v="2"/>
    <x v="3"/>
    <s v="Yes"/>
    <s v="Yes"/>
    <n v="4.9000000000000004"/>
    <x v="0"/>
    <n v="4"/>
    <s v="April"/>
  </r>
  <r>
    <s v="C0088"/>
    <s v="Priya Nair"/>
    <n v="45"/>
    <x v="1"/>
    <x v="3"/>
    <s v="Maharashtra"/>
    <s v="Mahindra"/>
    <x v="2"/>
    <x v="0"/>
    <x v="1"/>
    <s v="Automatic"/>
    <d v="2026-01-16T00:00:00"/>
    <d v="2026-02-10T00:00:00"/>
    <n v="1868717"/>
    <n v="51920"/>
    <n v="1816797"/>
    <x v="1"/>
    <x v="1"/>
    <s v="No"/>
    <s v="No"/>
    <n v="4.7"/>
    <x v="0"/>
    <n v="2"/>
    <s v="February"/>
  </r>
  <r>
    <s v="C0089"/>
    <s v="Karthik S"/>
    <n v="46"/>
    <x v="0"/>
    <x v="0"/>
    <s v="Telangana"/>
    <s v="Mahindra"/>
    <x v="0"/>
    <x v="0"/>
    <x v="1"/>
    <s v="Manual"/>
    <d v="2025-08-29T00:00:00"/>
    <d v="2025-10-08T00:00:00"/>
    <n v="1517346"/>
    <n v="68118"/>
    <n v="1449228"/>
    <x v="0"/>
    <x v="0"/>
    <s v="No"/>
    <s v="No"/>
    <n v="4.7"/>
    <x v="0"/>
    <n v="10"/>
    <s v="October"/>
  </r>
  <r>
    <s v="C0090"/>
    <s v="Vikram Rao"/>
    <n v="23"/>
    <x v="1"/>
    <x v="1"/>
    <s v="Tamil Nadu"/>
    <s v="Mahindra"/>
    <x v="0"/>
    <x v="1"/>
    <x v="0"/>
    <s v="Manual"/>
    <d v="2025-10-20T00:00:00"/>
    <d v="2025-11-16T00:00:00"/>
    <n v="1699569"/>
    <n v="25335"/>
    <n v="1674234"/>
    <x v="4"/>
    <x v="0"/>
    <s v="Yes"/>
    <s v="Yes"/>
    <n v="4.8"/>
    <x v="0"/>
    <n v="11"/>
    <s v="November"/>
  </r>
  <r>
    <s v="C0091"/>
    <s v="Anjali Verma"/>
    <n v="24"/>
    <x v="0"/>
    <x v="1"/>
    <s v="Tamil Nadu"/>
    <s v="Mahindra"/>
    <x v="0"/>
    <x v="3"/>
    <x v="1"/>
    <s v="Automatic"/>
    <d v="2026-05-01T00:00:00"/>
    <d v="2026-05-17T00:00:00"/>
    <n v="1766919"/>
    <n v="19672"/>
    <n v="1747247"/>
    <x v="1"/>
    <x v="0"/>
    <s v="Yes"/>
    <s v="No"/>
    <n v="4"/>
    <x v="1"/>
    <n v="5"/>
    <s v="May"/>
  </r>
  <r>
    <s v="C0092"/>
    <s v="Karthik S"/>
    <n v="51"/>
    <x v="0"/>
    <x v="2"/>
    <s v="Tamil Nadu"/>
    <s v="Mahindra"/>
    <x v="0"/>
    <x v="4"/>
    <x v="1"/>
    <s v="Manual"/>
    <d v="2026-04-13T00:00:00"/>
    <d v="2026-05-12T00:00:00"/>
    <n v="1876360"/>
    <n v="89731"/>
    <n v="1786629"/>
    <x v="4"/>
    <x v="0"/>
    <s v="No"/>
    <s v="Yes"/>
    <n v="4.0999999999999996"/>
    <x v="0"/>
    <n v="5"/>
    <s v="May"/>
  </r>
  <r>
    <s v="C0093"/>
    <s v="Anjali Verma"/>
    <n v="48"/>
    <x v="1"/>
    <x v="1"/>
    <s v="Tamil Nadu"/>
    <s v="Mahindra"/>
    <x v="0"/>
    <x v="4"/>
    <x v="1"/>
    <s v="Automatic"/>
    <d v="2025-06-20T00:00:00"/>
    <d v="2025-08-03T00:00:00"/>
    <n v="1755342"/>
    <n v="88557"/>
    <n v="1666785"/>
    <x v="2"/>
    <x v="2"/>
    <s v="No"/>
    <s v="Yes"/>
    <n v="3"/>
    <x v="0"/>
    <n v="8"/>
    <s v="August"/>
  </r>
  <r>
    <s v="C0094"/>
    <s v="Vikram Rao"/>
    <n v="46"/>
    <x v="0"/>
    <x v="1"/>
    <s v="Tamil Nadu"/>
    <s v="Mahindra"/>
    <x v="0"/>
    <x v="1"/>
    <x v="0"/>
    <s v="Automatic"/>
    <d v="2025-10-13T00:00:00"/>
    <d v="2025-11-24T00:00:00"/>
    <n v="1876090"/>
    <n v="57544"/>
    <n v="1818546"/>
    <x v="2"/>
    <x v="0"/>
    <s v="No"/>
    <s v="No"/>
    <n v="3.4"/>
    <x v="0"/>
    <n v="11"/>
    <s v="November"/>
  </r>
  <r>
    <s v="C0095"/>
    <s v="Vikram Rao"/>
    <n v="60"/>
    <x v="1"/>
    <x v="5"/>
    <s v="Tamil Nadu"/>
    <s v="Mahindra"/>
    <x v="2"/>
    <x v="0"/>
    <x v="0"/>
    <s v="Automatic"/>
    <d v="2026-06-10T00:00:00"/>
    <d v="2026-07-20T00:00:00"/>
    <n v="1865744"/>
    <n v="19843"/>
    <n v="1845901"/>
    <x v="3"/>
    <x v="0"/>
    <s v="Yes"/>
    <s v="No"/>
    <n v="5"/>
    <x v="0"/>
    <n v="7"/>
    <s v="July"/>
  </r>
  <r>
    <s v="C0096"/>
    <s v="Rohit Singh"/>
    <n v="43"/>
    <x v="1"/>
    <x v="0"/>
    <s v="Telangana"/>
    <s v="Mahindra"/>
    <x v="1"/>
    <x v="0"/>
    <x v="1"/>
    <s v="Manual"/>
    <d v="2025-01-11T00:00:00"/>
    <d v="2025-02-24T00:00:00"/>
    <n v="1613627"/>
    <n v="19612"/>
    <n v="1594015"/>
    <x v="4"/>
    <x v="4"/>
    <s v="No"/>
    <s v="No"/>
    <n v="4.2"/>
    <x v="0"/>
    <n v="2"/>
    <s v="February"/>
  </r>
  <r>
    <s v="C0097"/>
    <s v="Meera Iyer"/>
    <n v="27"/>
    <x v="0"/>
    <x v="5"/>
    <s v="Tamil Nadu"/>
    <s v="Mahindra"/>
    <x v="1"/>
    <x v="0"/>
    <x v="0"/>
    <s v="Automatic"/>
    <d v="2025-02-25T00:00:00"/>
    <d v="2025-03-31T00:00:00"/>
    <n v="1671377"/>
    <n v="64874"/>
    <n v="1606503"/>
    <x v="1"/>
    <x v="3"/>
    <s v="Yes"/>
    <s v="Yes"/>
    <n v="3.5"/>
    <x v="0"/>
    <n v="3"/>
    <s v="March"/>
  </r>
  <r>
    <s v="C0098"/>
    <s v="Rahul Sharma"/>
    <n v="45"/>
    <x v="0"/>
    <x v="4"/>
    <s v="Karnataka"/>
    <s v="Mahindra"/>
    <x v="1"/>
    <x v="3"/>
    <x v="1"/>
    <s v="Automatic"/>
    <d v="2026-02-04T00:00:00"/>
    <d v="2026-02-13T00:00:00"/>
    <n v="1848418"/>
    <n v="28329"/>
    <n v="1820089"/>
    <x v="3"/>
    <x v="0"/>
    <s v="Yes"/>
    <s v="No"/>
    <n v="3.2"/>
    <x v="2"/>
    <n v="2"/>
    <s v="February"/>
  </r>
  <r>
    <s v="C0099"/>
    <s v="Sneha Patel"/>
    <n v="53"/>
    <x v="0"/>
    <x v="1"/>
    <s v="Tamil Nadu"/>
    <s v="Mahindra"/>
    <x v="1"/>
    <x v="3"/>
    <x v="1"/>
    <s v="Manual"/>
    <d v="2026-06-14T00:00:00"/>
    <d v="2026-07-03T00:00:00"/>
    <n v="1546010"/>
    <n v="48962"/>
    <n v="1497048"/>
    <x v="1"/>
    <x v="2"/>
    <s v="Yes"/>
    <s v="Yes"/>
    <n v="4.3"/>
    <x v="1"/>
    <n v="7"/>
    <s v="July"/>
  </r>
  <r>
    <s v="C0100"/>
    <s v="Pooja Das"/>
    <n v="36"/>
    <x v="0"/>
    <x v="2"/>
    <s v="Tamil Nadu"/>
    <s v="Mahindra"/>
    <x v="1"/>
    <x v="1"/>
    <x v="1"/>
    <s v="Manual"/>
    <d v="2026-02-24T00:00:00"/>
    <d v="2026-03-20T00:00:00"/>
    <n v="1348735"/>
    <n v="21899"/>
    <n v="1326836"/>
    <x v="2"/>
    <x v="4"/>
    <s v="Yes"/>
    <s v="No"/>
    <n v="3.9"/>
    <x v="0"/>
    <n v="3"/>
    <s v="March"/>
  </r>
  <r>
    <s v="C0101"/>
    <s v="Rahul Sharma"/>
    <n v="37"/>
    <x v="0"/>
    <x v="1"/>
    <s v="Tamil Nadu"/>
    <s v="Mahindra"/>
    <x v="0"/>
    <x v="2"/>
    <x v="0"/>
    <s v="Manual"/>
    <d v="2025-12-12T00:00:00"/>
    <d v="2026-01-06T00:00:00"/>
    <n v="1884213"/>
    <n v="47554"/>
    <n v="1836659"/>
    <x v="2"/>
    <x v="1"/>
    <s v="Yes"/>
    <s v="Yes"/>
    <n v="3.8"/>
    <x v="0"/>
    <n v="1"/>
    <s v="January"/>
  </r>
  <r>
    <s v="C0102"/>
    <s v="Meera Iyer"/>
    <n v="38"/>
    <x v="0"/>
    <x v="1"/>
    <s v="Tamil Nadu"/>
    <s v="Mahindra"/>
    <x v="0"/>
    <x v="3"/>
    <x v="0"/>
    <s v="Manual"/>
    <d v="2026-01-13T00:00:00"/>
    <d v="2026-02-22T00:00:00"/>
    <n v="1567976"/>
    <n v="19566"/>
    <n v="1548410"/>
    <x v="1"/>
    <x v="0"/>
    <s v="No"/>
    <s v="Yes"/>
    <n v="3.7"/>
    <x v="0"/>
    <n v="2"/>
    <s v="February"/>
  </r>
  <r>
    <s v="C0103"/>
    <s v="Priya Nair"/>
    <n v="38"/>
    <x v="0"/>
    <x v="1"/>
    <s v="Tamil Nadu"/>
    <s v="Mahindra"/>
    <x v="1"/>
    <x v="4"/>
    <x v="1"/>
    <s v="Manual"/>
    <d v="2025-01-18T00:00:00"/>
    <d v="2025-02-27T00:00:00"/>
    <n v="1469932"/>
    <n v="94486"/>
    <n v="1375446"/>
    <x v="4"/>
    <x v="3"/>
    <s v="No"/>
    <s v="No"/>
    <n v="4.9000000000000004"/>
    <x v="0"/>
    <n v="2"/>
    <s v="February"/>
  </r>
  <r>
    <s v="C0104"/>
    <s v="Karthik S"/>
    <n v="21"/>
    <x v="1"/>
    <x v="2"/>
    <s v="Tamil Nadu"/>
    <s v="Mahindra"/>
    <x v="1"/>
    <x v="2"/>
    <x v="1"/>
    <s v="Automatic"/>
    <d v="2026-01-06T00:00:00"/>
    <d v="2026-01-24T00:00:00"/>
    <n v="1345096"/>
    <n v="10777"/>
    <n v="1334319"/>
    <x v="0"/>
    <x v="0"/>
    <s v="Yes"/>
    <s v="Yes"/>
    <n v="3.1"/>
    <x v="1"/>
    <n v="1"/>
    <s v="January"/>
  </r>
  <r>
    <s v="C0105"/>
    <s v="Rohit Singh"/>
    <n v="56"/>
    <x v="0"/>
    <x v="3"/>
    <s v="Maharashtra"/>
    <s v="Mahindra"/>
    <x v="1"/>
    <x v="2"/>
    <x v="0"/>
    <s v="Automatic"/>
    <d v="2025-01-01T00:00:00"/>
    <d v="2025-02-03T00:00:00"/>
    <n v="1397943"/>
    <n v="51723"/>
    <n v="1346220"/>
    <x v="4"/>
    <x v="4"/>
    <s v="Yes"/>
    <s v="Yes"/>
    <n v="3.9"/>
    <x v="0"/>
    <n v="2"/>
    <s v="February"/>
  </r>
  <r>
    <s v="C0106"/>
    <s v="Anjali Verma"/>
    <n v="50"/>
    <x v="0"/>
    <x v="4"/>
    <s v="Karnataka"/>
    <s v="Mahindra"/>
    <x v="2"/>
    <x v="0"/>
    <x v="0"/>
    <s v="Manual"/>
    <d v="2025-11-11T00:00:00"/>
    <d v="2025-12-05T00:00:00"/>
    <n v="1378763"/>
    <n v="96434"/>
    <n v="1282329"/>
    <x v="4"/>
    <x v="0"/>
    <s v="No"/>
    <s v="No"/>
    <n v="4.8"/>
    <x v="0"/>
    <n v="12"/>
    <s v="December"/>
  </r>
  <r>
    <s v="C0107"/>
    <s v="Priya Nair"/>
    <n v="46"/>
    <x v="1"/>
    <x v="0"/>
    <s v="Telangana"/>
    <s v="Mahindra"/>
    <x v="1"/>
    <x v="4"/>
    <x v="0"/>
    <s v="Manual"/>
    <d v="2026-04-12T00:00:00"/>
    <d v="2026-05-02T00:00:00"/>
    <n v="1878816"/>
    <n v="98019"/>
    <n v="1780797"/>
    <x v="3"/>
    <x v="3"/>
    <s v="Yes"/>
    <s v="No"/>
    <n v="3.2"/>
    <x v="1"/>
    <n v="5"/>
    <s v="May"/>
  </r>
  <r>
    <s v="C0108"/>
    <s v="Arjun Kumar"/>
    <n v="21"/>
    <x v="0"/>
    <x v="2"/>
    <s v="Tamil Nadu"/>
    <s v="Mahindra"/>
    <x v="1"/>
    <x v="2"/>
    <x v="0"/>
    <s v="Manual"/>
    <d v="2026-06-06T00:00:00"/>
    <d v="2026-07-12T00:00:00"/>
    <n v="1896395"/>
    <n v="83378"/>
    <n v="1813017"/>
    <x v="3"/>
    <x v="4"/>
    <s v="Yes"/>
    <s v="Yes"/>
    <n v="4.3"/>
    <x v="0"/>
    <n v="7"/>
    <s v="July"/>
  </r>
  <r>
    <s v="C0109"/>
    <s v="Rahul Sharma"/>
    <n v="32"/>
    <x v="1"/>
    <x v="3"/>
    <s v="Maharashtra"/>
    <s v="Mahindra"/>
    <x v="2"/>
    <x v="2"/>
    <x v="1"/>
    <s v="Automatic"/>
    <d v="2025-12-17T00:00:00"/>
    <d v="2026-01-14T00:00:00"/>
    <n v="1450387"/>
    <n v="25676"/>
    <n v="1424711"/>
    <x v="3"/>
    <x v="0"/>
    <s v="No"/>
    <s v="No"/>
    <n v="4"/>
    <x v="0"/>
    <n v="1"/>
    <s v="January"/>
  </r>
  <r>
    <s v="C0110"/>
    <s v="Priya Nair"/>
    <n v="31"/>
    <x v="0"/>
    <x v="0"/>
    <s v="Telangana"/>
    <s v="Mahindra"/>
    <x v="0"/>
    <x v="3"/>
    <x v="1"/>
    <s v="Automatic"/>
    <d v="2025-04-14T00:00:00"/>
    <d v="2025-05-05T00:00:00"/>
    <n v="1717543"/>
    <n v="92478"/>
    <n v="1625065"/>
    <x v="0"/>
    <x v="4"/>
    <s v="Yes"/>
    <s v="Yes"/>
    <n v="4.8"/>
    <x v="0"/>
    <n v="5"/>
    <s v="May"/>
  </r>
  <r>
    <s v="C0111"/>
    <s v="Vikram Rao"/>
    <n v="57"/>
    <x v="0"/>
    <x v="1"/>
    <s v="Tamil Nadu"/>
    <s v="Mahindra"/>
    <x v="0"/>
    <x v="2"/>
    <x v="0"/>
    <s v="Manual"/>
    <d v="2025-07-20T00:00:00"/>
    <d v="2025-08-26T00:00:00"/>
    <n v="1493797"/>
    <n v="38228"/>
    <n v="1455569"/>
    <x v="1"/>
    <x v="3"/>
    <s v="No"/>
    <s v="No"/>
    <n v="3.1"/>
    <x v="0"/>
    <n v="8"/>
    <s v="August"/>
  </r>
  <r>
    <s v="C0112"/>
    <s v="Vikram Rao"/>
    <n v="53"/>
    <x v="1"/>
    <x v="4"/>
    <s v="Karnataka"/>
    <s v="Mahindra"/>
    <x v="2"/>
    <x v="1"/>
    <x v="1"/>
    <s v="Automatic"/>
    <d v="2025-03-11T00:00:00"/>
    <d v="2025-03-23T00:00:00"/>
    <n v="1720007"/>
    <n v="62897"/>
    <n v="1657110"/>
    <x v="3"/>
    <x v="3"/>
    <s v="No"/>
    <s v="No"/>
    <n v="4.2"/>
    <x v="1"/>
    <n v="3"/>
    <s v="March"/>
  </r>
  <r>
    <s v="C0113"/>
    <s v="Vikram Rao"/>
    <n v="38"/>
    <x v="0"/>
    <x v="3"/>
    <s v="Maharashtra"/>
    <s v="Mahindra"/>
    <x v="0"/>
    <x v="0"/>
    <x v="0"/>
    <s v="Manual"/>
    <d v="2025-10-20T00:00:00"/>
    <d v="2025-12-03T00:00:00"/>
    <n v="1459304"/>
    <n v="40767"/>
    <n v="1418537"/>
    <x v="2"/>
    <x v="3"/>
    <s v="No"/>
    <s v="Yes"/>
    <n v="3.3"/>
    <x v="0"/>
    <n v="12"/>
    <s v="December"/>
  </r>
  <r>
    <s v="C0114"/>
    <s v="Karthik S"/>
    <n v="28"/>
    <x v="1"/>
    <x v="2"/>
    <s v="Tamil Nadu"/>
    <s v="Mahindra"/>
    <x v="2"/>
    <x v="3"/>
    <x v="1"/>
    <s v="Automatic"/>
    <d v="2025-03-03T00:00:00"/>
    <d v="2025-03-25T00:00:00"/>
    <n v="1589025"/>
    <n v="72192"/>
    <n v="1516833"/>
    <x v="4"/>
    <x v="3"/>
    <s v="Yes"/>
    <s v="No"/>
    <n v="4.5"/>
    <x v="0"/>
    <n v="3"/>
    <s v="March"/>
  </r>
  <r>
    <s v="C0115"/>
    <s v="Rohit Singh"/>
    <n v="55"/>
    <x v="0"/>
    <x v="3"/>
    <s v="Maharashtra"/>
    <s v="Mahindra"/>
    <x v="0"/>
    <x v="4"/>
    <x v="1"/>
    <s v="Automatic"/>
    <d v="2025-11-18T00:00:00"/>
    <d v="2025-12-28T00:00:00"/>
    <n v="1619579"/>
    <n v="34014"/>
    <n v="1585565"/>
    <x v="0"/>
    <x v="3"/>
    <s v="No"/>
    <s v="No"/>
    <n v="4.5999999999999996"/>
    <x v="0"/>
    <n v="12"/>
    <s v="December"/>
  </r>
  <r>
    <s v="C0116"/>
    <s v="Sneha Patel"/>
    <n v="26"/>
    <x v="1"/>
    <x v="3"/>
    <s v="Maharashtra"/>
    <s v="Mahindra"/>
    <x v="0"/>
    <x v="3"/>
    <x v="1"/>
    <s v="Manual"/>
    <d v="2026-04-13T00:00:00"/>
    <d v="2026-05-14T00:00:00"/>
    <n v="1787602"/>
    <n v="75427"/>
    <n v="1712175"/>
    <x v="1"/>
    <x v="2"/>
    <s v="No"/>
    <s v="No"/>
    <n v="3.3"/>
    <x v="0"/>
    <n v="5"/>
    <s v="May"/>
  </r>
  <r>
    <s v="C0117"/>
    <s v="Anjali Verma"/>
    <n v="27"/>
    <x v="0"/>
    <x v="1"/>
    <s v="Tamil Nadu"/>
    <s v="Mahindra"/>
    <x v="2"/>
    <x v="4"/>
    <x v="0"/>
    <s v="Manual"/>
    <d v="2025-05-17T00:00:00"/>
    <d v="2025-05-25T00:00:00"/>
    <n v="1605220"/>
    <n v="93507"/>
    <n v="1511713"/>
    <x v="0"/>
    <x v="4"/>
    <s v="No"/>
    <s v="Yes"/>
    <n v="3.3"/>
    <x v="2"/>
    <n v="5"/>
    <s v="May"/>
  </r>
  <r>
    <s v="C0118"/>
    <s v="Priya Nair"/>
    <n v="23"/>
    <x v="0"/>
    <x v="5"/>
    <s v="Tamil Nadu"/>
    <s v="Mahindra"/>
    <x v="0"/>
    <x v="4"/>
    <x v="0"/>
    <s v="Automatic"/>
    <d v="2025-08-28T00:00:00"/>
    <d v="2025-10-07T00:00:00"/>
    <n v="1662738"/>
    <n v="55051"/>
    <n v="1607687"/>
    <x v="0"/>
    <x v="3"/>
    <s v="Yes"/>
    <s v="Yes"/>
    <n v="3.8"/>
    <x v="0"/>
    <n v="10"/>
    <s v="October"/>
  </r>
  <r>
    <s v="C0119"/>
    <s v="Anjali Verma"/>
    <n v="37"/>
    <x v="0"/>
    <x v="4"/>
    <s v="Karnataka"/>
    <s v="Mahindra"/>
    <x v="0"/>
    <x v="2"/>
    <x v="0"/>
    <s v="Automatic"/>
    <d v="2025-07-22T00:00:00"/>
    <d v="2025-08-21T00:00:00"/>
    <n v="1640554"/>
    <n v="35466"/>
    <n v="1605088"/>
    <x v="0"/>
    <x v="0"/>
    <s v="No"/>
    <s v="No"/>
    <n v="4.9000000000000004"/>
    <x v="0"/>
    <n v="8"/>
    <s v="August"/>
  </r>
  <r>
    <s v="C0120"/>
    <s v="Priya Nair"/>
    <n v="21"/>
    <x v="0"/>
    <x v="3"/>
    <s v="Maharashtra"/>
    <s v="Mahindra"/>
    <x v="0"/>
    <x v="2"/>
    <x v="0"/>
    <s v="Manual"/>
    <d v="2026-02-10T00:00:00"/>
    <d v="2026-02-18T00:00:00"/>
    <n v="1508434"/>
    <n v="23917"/>
    <n v="1484517"/>
    <x v="4"/>
    <x v="4"/>
    <s v="No"/>
    <s v="Yes"/>
    <n v="3.1"/>
    <x v="2"/>
    <n v="2"/>
    <s v="February"/>
  </r>
  <r>
    <s v="C0121"/>
    <s v="Priya Nair"/>
    <n v="56"/>
    <x v="0"/>
    <x v="1"/>
    <s v="Tamil Nadu"/>
    <s v="Mahindra"/>
    <x v="0"/>
    <x v="2"/>
    <x v="0"/>
    <s v="Automatic"/>
    <d v="2025-08-20T00:00:00"/>
    <d v="2025-09-26T00:00:00"/>
    <n v="1639620"/>
    <n v="99516"/>
    <n v="1540104"/>
    <x v="2"/>
    <x v="3"/>
    <s v="Yes"/>
    <s v="No"/>
    <n v="3.1"/>
    <x v="0"/>
    <n v="9"/>
    <s v="September"/>
  </r>
  <r>
    <s v="C0122"/>
    <s v="Arjun Kumar"/>
    <n v="48"/>
    <x v="0"/>
    <x v="3"/>
    <s v="Maharashtra"/>
    <s v="Mahindra"/>
    <x v="1"/>
    <x v="2"/>
    <x v="0"/>
    <s v="Automatic"/>
    <d v="2026-03-04T00:00:00"/>
    <d v="2026-03-19T00:00:00"/>
    <n v="1737963"/>
    <n v="28470"/>
    <n v="1709493"/>
    <x v="3"/>
    <x v="2"/>
    <s v="No"/>
    <s v="Yes"/>
    <n v="3.1"/>
    <x v="1"/>
    <n v="3"/>
    <s v="March"/>
  </r>
  <r>
    <s v="C0123"/>
    <s v="Vikram Rao"/>
    <n v="25"/>
    <x v="1"/>
    <x v="1"/>
    <s v="Tamil Nadu"/>
    <s v="Mahindra"/>
    <x v="0"/>
    <x v="4"/>
    <x v="0"/>
    <s v="Manual"/>
    <d v="2025-03-08T00:00:00"/>
    <d v="2025-03-27T00:00:00"/>
    <n v="1683646"/>
    <n v="52154"/>
    <n v="1631492"/>
    <x v="0"/>
    <x v="1"/>
    <s v="No"/>
    <s v="Yes"/>
    <n v="3.3"/>
    <x v="1"/>
    <n v="3"/>
    <s v="March"/>
  </r>
  <r>
    <s v="C0124"/>
    <s v="Sneha Patel"/>
    <n v="47"/>
    <x v="1"/>
    <x v="0"/>
    <s v="Telangana"/>
    <s v="Mahindra"/>
    <x v="1"/>
    <x v="2"/>
    <x v="1"/>
    <s v="Automatic"/>
    <d v="2026-02-06T00:00:00"/>
    <d v="2026-02-27T00:00:00"/>
    <n v="1540720"/>
    <n v="28190"/>
    <n v="1512530"/>
    <x v="1"/>
    <x v="3"/>
    <s v="No"/>
    <s v="No"/>
    <n v="3.2"/>
    <x v="0"/>
    <n v="2"/>
    <s v="February"/>
  </r>
  <r>
    <s v="C0125"/>
    <s v="Karthik S"/>
    <n v="52"/>
    <x v="1"/>
    <x v="4"/>
    <s v="Karnataka"/>
    <s v="Mahindra"/>
    <x v="1"/>
    <x v="3"/>
    <x v="1"/>
    <s v="Automatic"/>
    <d v="2025-01-04T00:00:00"/>
    <d v="2025-01-25T00:00:00"/>
    <n v="1792264"/>
    <n v="15702"/>
    <n v="1776562"/>
    <x v="1"/>
    <x v="1"/>
    <s v="No"/>
    <s v="Yes"/>
    <n v="3.4"/>
    <x v="0"/>
    <n v="1"/>
    <s v="January"/>
  </r>
  <r>
    <s v="C0126"/>
    <s v="Vikram Rao"/>
    <n v="47"/>
    <x v="0"/>
    <x v="3"/>
    <s v="Maharashtra"/>
    <s v="Mahindra"/>
    <x v="2"/>
    <x v="2"/>
    <x v="1"/>
    <s v="Automatic"/>
    <d v="2025-02-01T00:00:00"/>
    <d v="2025-02-26T00:00:00"/>
    <n v="1880566"/>
    <n v="56758"/>
    <n v="1823808"/>
    <x v="2"/>
    <x v="3"/>
    <s v="Yes"/>
    <s v="No"/>
    <n v="3.4"/>
    <x v="0"/>
    <n v="2"/>
    <s v="February"/>
  </r>
  <r>
    <s v="C0127"/>
    <s v="Rohit Singh"/>
    <n v="54"/>
    <x v="1"/>
    <x v="5"/>
    <s v="Tamil Nadu"/>
    <s v="Mahindra"/>
    <x v="0"/>
    <x v="4"/>
    <x v="1"/>
    <s v="Manual"/>
    <d v="2025-07-27T00:00:00"/>
    <d v="2025-08-03T00:00:00"/>
    <n v="1324079"/>
    <n v="41459"/>
    <n v="1282620"/>
    <x v="1"/>
    <x v="0"/>
    <s v="No"/>
    <s v="No"/>
    <n v="3.7"/>
    <x v="2"/>
    <n v="8"/>
    <s v="August"/>
  </r>
  <r>
    <s v="C0128"/>
    <s v="Arjun Kumar"/>
    <n v="51"/>
    <x v="1"/>
    <x v="1"/>
    <s v="Tamil Nadu"/>
    <s v="Mahindra"/>
    <x v="1"/>
    <x v="2"/>
    <x v="0"/>
    <s v="Automatic"/>
    <d v="2026-01-24T00:00:00"/>
    <d v="2026-03-01T00:00:00"/>
    <n v="1608227"/>
    <n v="31101"/>
    <n v="1577126"/>
    <x v="2"/>
    <x v="3"/>
    <s v="Yes"/>
    <s v="No"/>
    <n v="4.7"/>
    <x v="0"/>
    <n v="3"/>
    <s v="March"/>
  </r>
  <r>
    <s v="C0129"/>
    <s v="Karthik S"/>
    <n v="39"/>
    <x v="0"/>
    <x v="2"/>
    <s v="Tamil Nadu"/>
    <s v="Mahindra"/>
    <x v="1"/>
    <x v="1"/>
    <x v="0"/>
    <s v="Automatic"/>
    <d v="2025-01-30T00:00:00"/>
    <d v="2025-02-07T00:00:00"/>
    <n v="1800986"/>
    <n v="18696"/>
    <n v="1782290"/>
    <x v="1"/>
    <x v="2"/>
    <s v="No"/>
    <s v="Yes"/>
    <n v="3.9"/>
    <x v="2"/>
    <n v="2"/>
    <s v="February"/>
  </r>
  <r>
    <s v="C0130"/>
    <s v="Vikram Rao"/>
    <n v="23"/>
    <x v="0"/>
    <x v="2"/>
    <s v="Tamil Nadu"/>
    <s v="Mahindra"/>
    <x v="2"/>
    <x v="4"/>
    <x v="1"/>
    <s v="Automatic"/>
    <d v="2026-05-03T00:00:00"/>
    <d v="2026-06-08T00:00:00"/>
    <n v="1337545"/>
    <n v="42504"/>
    <n v="1295041"/>
    <x v="3"/>
    <x v="3"/>
    <s v="Yes"/>
    <s v="Yes"/>
    <n v="4.5999999999999996"/>
    <x v="0"/>
    <n v="6"/>
    <s v="June"/>
  </r>
  <r>
    <s v="C0131"/>
    <s v="Sneha Patel"/>
    <n v="53"/>
    <x v="1"/>
    <x v="1"/>
    <s v="Tamil Nadu"/>
    <s v="Mahindra"/>
    <x v="0"/>
    <x v="0"/>
    <x v="0"/>
    <s v="Automatic"/>
    <d v="2025-05-01T00:00:00"/>
    <d v="2025-06-02T00:00:00"/>
    <n v="1719910"/>
    <n v="19179"/>
    <n v="1700731"/>
    <x v="1"/>
    <x v="4"/>
    <s v="No"/>
    <s v="Yes"/>
    <n v="4.7"/>
    <x v="0"/>
    <n v="6"/>
    <s v="June"/>
  </r>
  <r>
    <s v="C0132"/>
    <s v="Karthik S"/>
    <n v="54"/>
    <x v="1"/>
    <x v="2"/>
    <s v="Tamil Nadu"/>
    <s v="Mahindra"/>
    <x v="0"/>
    <x v="1"/>
    <x v="1"/>
    <s v="Automatic"/>
    <d v="2025-08-02T00:00:00"/>
    <d v="2025-09-05T00:00:00"/>
    <n v="1365920"/>
    <n v="80012"/>
    <n v="1285908"/>
    <x v="1"/>
    <x v="4"/>
    <s v="Yes"/>
    <s v="No"/>
    <n v="3.7"/>
    <x v="0"/>
    <n v="9"/>
    <s v="September"/>
  </r>
  <r>
    <s v="C0133"/>
    <s v="Anjali Verma"/>
    <n v="23"/>
    <x v="0"/>
    <x v="1"/>
    <s v="Tamil Nadu"/>
    <s v="Mahindra"/>
    <x v="0"/>
    <x v="1"/>
    <x v="0"/>
    <s v="Automatic"/>
    <d v="2025-12-15T00:00:00"/>
    <d v="2026-01-16T00:00:00"/>
    <n v="1836158"/>
    <n v="41648"/>
    <n v="1794510"/>
    <x v="4"/>
    <x v="2"/>
    <s v="No"/>
    <s v="No"/>
    <n v="4.4000000000000004"/>
    <x v="0"/>
    <n v="1"/>
    <s v="January"/>
  </r>
  <r>
    <s v="C0134"/>
    <s v="Anjali Verma"/>
    <n v="54"/>
    <x v="1"/>
    <x v="1"/>
    <s v="Tamil Nadu"/>
    <s v="Mahindra"/>
    <x v="1"/>
    <x v="2"/>
    <x v="1"/>
    <s v="Manual"/>
    <d v="2026-06-07T00:00:00"/>
    <d v="2026-06-29T00:00:00"/>
    <n v="1605189"/>
    <n v="68130"/>
    <n v="1537059"/>
    <x v="1"/>
    <x v="4"/>
    <s v="Yes"/>
    <s v="No"/>
    <n v="4.0999999999999996"/>
    <x v="0"/>
    <n v="6"/>
    <s v="June"/>
  </r>
  <r>
    <s v="C0135"/>
    <s v="Meera Iyer"/>
    <n v="44"/>
    <x v="0"/>
    <x v="0"/>
    <s v="Telangana"/>
    <s v="Mahindra"/>
    <x v="1"/>
    <x v="0"/>
    <x v="1"/>
    <s v="Manual"/>
    <d v="2025-08-24T00:00:00"/>
    <d v="2025-09-11T00:00:00"/>
    <n v="1839370"/>
    <n v="42314"/>
    <n v="1797056"/>
    <x v="0"/>
    <x v="2"/>
    <s v="No"/>
    <s v="No"/>
    <n v="3.9"/>
    <x v="1"/>
    <n v="9"/>
    <s v="September"/>
  </r>
  <r>
    <s v="C0136"/>
    <s v="Vikram Rao"/>
    <n v="46"/>
    <x v="0"/>
    <x v="2"/>
    <s v="Tamil Nadu"/>
    <s v="Mahindra"/>
    <x v="0"/>
    <x v="3"/>
    <x v="0"/>
    <s v="Manual"/>
    <d v="2025-01-07T00:00:00"/>
    <d v="2025-02-20T00:00:00"/>
    <n v="1592780"/>
    <n v="33792"/>
    <n v="1558988"/>
    <x v="2"/>
    <x v="3"/>
    <s v="Yes"/>
    <s v="No"/>
    <n v="3.7"/>
    <x v="0"/>
    <n v="2"/>
    <s v="February"/>
  </r>
  <r>
    <s v="C0137"/>
    <s v="Rahul Sharma"/>
    <n v="38"/>
    <x v="1"/>
    <x v="2"/>
    <s v="Tamil Nadu"/>
    <s v="Mahindra"/>
    <x v="0"/>
    <x v="1"/>
    <x v="1"/>
    <s v="Automatic"/>
    <d v="2025-06-29T00:00:00"/>
    <d v="2025-07-12T00:00:00"/>
    <n v="1534105"/>
    <n v="54100"/>
    <n v="1480005"/>
    <x v="4"/>
    <x v="2"/>
    <s v="No"/>
    <s v="Yes"/>
    <n v="4.5"/>
    <x v="1"/>
    <n v="7"/>
    <s v="July"/>
  </r>
  <r>
    <s v="C0138"/>
    <s v="Rahul Sharma"/>
    <n v="34"/>
    <x v="0"/>
    <x v="2"/>
    <s v="Tamil Nadu"/>
    <s v="Mahindra"/>
    <x v="0"/>
    <x v="0"/>
    <x v="1"/>
    <s v="Automatic"/>
    <d v="2025-06-30T00:00:00"/>
    <d v="2025-07-30T00:00:00"/>
    <n v="1640915"/>
    <n v="58393"/>
    <n v="1582522"/>
    <x v="0"/>
    <x v="3"/>
    <s v="Yes"/>
    <s v="No"/>
    <n v="4.2"/>
    <x v="0"/>
    <n v="7"/>
    <s v="July"/>
  </r>
  <r>
    <s v="C0139"/>
    <s v="Rohit Singh"/>
    <n v="51"/>
    <x v="1"/>
    <x v="1"/>
    <s v="Tamil Nadu"/>
    <s v="Mahindra"/>
    <x v="0"/>
    <x v="1"/>
    <x v="1"/>
    <s v="Automatic"/>
    <d v="2025-06-20T00:00:00"/>
    <d v="2025-07-26T00:00:00"/>
    <n v="1325534"/>
    <n v="69510"/>
    <n v="1256024"/>
    <x v="2"/>
    <x v="4"/>
    <s v="Yes"/>
    <s v="Yes"/>
    <n v="3.2"/>
    <x v="0"/>
    <n v="7"/>
    <s v="July"/>
  </r>
  <r>
    <s v="C0140"/>
    <s v="Rohit Singh"/>
    <n v="32"/>
    <x v="0"/>
    <x v="5"/>
    <s v="Tamil Nadu"/>
    <s v="Mahindra"/>
    <x v="0"/>
    <x v="2"/>
    <x v="1"/>
    <s v="Automatic"/>
    <d v="2025-05-31T00:00:00"/>
    <d v="2025-06-22T00:00:00"/>
    <n v="1687923"/>
    <n v="27715"/>
    <n v="1660208"/>
    <x v="2"/>
    <x v="1"/>
    <s v="Yes"/>
    <s v="Yes"/>
    <n v="4.0999999999999996"/>
    <x v="0"/>
    <n v="6"/>
    <s v="June"/>
  </r>
  <r>
    <s v="C0141"/>
    <s v="Karthik S"/>
    <n v="52"/>
    <x v="0"/>
    <x v="4"/>
    <s v="Karnataka"/>
    <s v="Mahindra"/>
    <x v="1"/>
    <x v="1"/>
    <x v="1"/>
    <s v="Manual"/>
    <d v="2026-04-24T00:00:00"/>
    <d v="2026-05-11T00:00:00"/>
    <n v="1632212"/>
    <n v="33660"/>
    <n v="1598552"/>
    <x v="2"/>
    <x v="4"/>
    <s v="No"/>
    <s v="Yes"/>
    <n v="4.4000000000000004"/>
    <x v="1"/>
    <n v="5"/>
    <s v="May"/>
  </r>
  <r>
    <s v="C0142"/>
    <s v="Karthik S"/>
    <n v="29"/>
    <x v="0"/>
    <x v="3"/>
    <s v="Maharashtra"/>
    <s v="Mahindra"/>
    <x v="0"/>
    <x v="3"/>
    <x v="1"/>
    <s v="Manual"/>
    <d v="2026-01-10T00:00:00"/>
    <d v="2026-02-11T00:00:00"/>
    <n v="1709765"/>
    <n v="16252"/>
    <n v="1693513"/>
    <x v="2"/>
    <x v="1"/>
    <s v="No"/>
    <s v="Yes"/>
    <n v="3.4"/>
    <x v="0"/>
    <n v="2"/>
    <s v="February"/>
  </r>
  <r>
    <s v="C0143"/>
    <s v="Karthik S"/>
    <n v="50"/>
    <x v="1"/>
    <x v="0"/>
    <s v="Telangana"/>
    <s v="Mahindra"/>
    <x v="0"/>
    <x v="1"/>
    <x v="1"/>
    <s v="Manual"/>
    <d v="2026-03-03T00:00:00"/>
    <d v="2026-03-18T00:00:00"/>
    <n v="1600336"/>
    <n v="39508"/>
    <n v="1560828"/>
    <x v="2"/>
    <x v="3"/>
    <s v="No"/>
    <s v="No"/>
    <n v="4.3"/>
    <x v="1"/>
    <n v="3"/>
    <s v="March"/>
  </r>
  <r>
    <s v="C0144"/>
    <s v="Anjali Verma"/>
    <n v="59"/>
    <x v="1"/>
    <x v="4"/>
    <s v="Karnataka"/>
    <s v="Mahindra"/>
    <x v="0"/>
    <x v="4"/>
    <x v="0"/>
    <s v="Automatic"/>
    <d v="2026-01-05T00:00:00"/>
    <d v="2026-02-05T00:00:00"/>
    <n v="1700574"/>
    <n v="63850"/>
    <n v="1636724"/>
    <x v="0"/>
    <x v="0"/>
    <s v="Yes"/>
    <s v="Yes"/>
    <n v="3.6"/>
    <x v="0"/>
    <n v="2"/>
    <s v="February"/>
  </r>
  <r>
    <s v="C0145"/>
    <s v="Pooja Das"/>
    <n v="24"/>
    <x v="1"/>
    <x v="0"/>
    <s v="Telangana"/>
    <s v="Mahindra"/>
    <x v="0"/>
    <x v="1"/>
    <x v="0"/>
    <s v="Automatic"/>
    <d v="2025-12-25T00:00:00"/>
    <d v="2026-02-04T00:00:00"/>
    <n v="1854215"/>
    <n v="82601"/>
    <n v="1771614"/>
    <x v="4"/>
    <x v="0"/>
    <s v="Yes"/>
    <s v="Yes"/>
    <n v="4.3"/>
    <x v="0"/>
    <n v="2"/>
    <s v="February"/>
  </r>
  <r>
    <s v="C0146"/>
    <s v="Karthik S"/>
    <n v="29"/>
    <x v="0"/>
    <x v="1"/>
    <s v="Tamil Nadu"/>
    <s v="Mahindra"/>
    <x v="2"/>
    <x v="3"/>
    <x v="0"/>
    <s v="Manual"/>
    <d v="2026-06-12T00:00:00"/>
    <d v="2026-07-13T00:00:00"/>
    <n v="1353484"/>
    <n v="20325"/>
    <n v="1333159"/>
    <x v="2"/>
    <x v="4"/>
    <s v="No"/>
    <s v="No"/>
    <n v="3.4"/>
    <x v="0"/>
    <n v="7"/>
    <s v="July"/>
  </r>
  <r>
    <s v="C0147"/>
    <s v="Priya Nair"/>
    <n v="26"/>
    <x v="1"/>
    <x v="1"/>
    <s v="Tamil Nadu"/>
    <s v="Mahindra"/>
    <x v="2"/>
    <x v="1"/>
    <x v="1"/>
    <s v="Automatic"/>
    <d v="2026-06-05T00:00:00"/>
    <d v="2026-07-08T00:00:00"/>
    <n v="1534506"/>
    <n v="61979"/>
    <n v="1472527"/>
    <x v="4"/>
    <x v="3"/>
    <s v="No"/>
    <s v="No"/>
    <n v="3.4"/>
    <x v="0"/>
    <n v="7"/>
    <s v="July"/>
  </r>
  <r>
    <s v="C0148"/>
    <s v="Priya Nair"/>
    <n v="37"/>
    <x v="0"/>
    <x v="2"/>
    <s v="Tamil Nadu"/>
    <s v="Mahindra"/>
    <x v="0"/>
    <x v="2"/>
    <x v="1"/>
    <s v="Manual"/>
    <d v="2026-03-05T00:00:00"/>
    <d v="2026-03-16T00:00:00"/>
    <n v="1590253"/>
    <n v="15213"/>
    <n v="1575040"/>
    <x v="2"/>
    <x v="4"/>
    <s v="No"/>
    <s v="No"/>
    <n v="4.7"/>
    <x v="1"/>
    <n v="3"/>
    <s v="March"/>
  </r>
  <r>
    <s v="C0149"/>
    <s v="Rohit Singh"/>
    <n v="36"/>
    <x v="1"/>
    <x v="0"/>
    <s v="Telangana"/>
    <s v="Mahindra"/>
    <x v="2"/>
    <x v="1"/>
    <x v="0"/>
    <s v="Automatic"/>
    <d v="2025-03-04T00:00:00"/>
    <d v="2025-04-03T00:00:00"/>
    <n v="1784901"/>
    <n v="19921"/>
    <n v="1764980"/>
    <x v="2"/>
    <x v="4"/>
    <s v="Yes"/>
    <s v="No"/>
    <n v="3.8"/>
    <x v="0"/>
    <n v="4"/>
    <s v="April"/>
  </r>
  <r>
    <s v="C0150"/>
    <s v="Rahul Sharma"/>
    <n v="37"/>
    <x v="1"/>
    <x v="3"/>
    <s v="Maharashtra"/>
    <s v="Mahindra"/>
    <x v="1"/>
    <x v="4"/>
    <x v="0"/>
    <s v="Manual"/>
    <d v="2026-04-19T00:00:00"/>
    <d v="2026-05-20T00:00:00"/>
    <n v="1658185"/>
    <n v="75015"/>
    <n v="1583170"/>
    <x v="2"/>
    <x v="1"/>
    <s v="No"/>
    <s v="No"/>
    <n v="4.7"/>
    <x v="0"/>
    <n v="5"/>
    <s v="May"/>
  </r>
  <r>
    <s v="C0151"/>
    <s v="Rohit Singh"/>
    <n v="35"/>
    <x v="1"/>
    <x v="2"/>
    <s v="Tamil Nadu"/>
    <s v="Mahindra"/>
    <x v="1"/>
    <x v="4"/>
    <x v="1"/>
    <s v="Manual"/>
    <d v="2025-04-19T00:00:00"/>
    <d v="2025-05-17T00:00:00"/>
    <n v="1781300"/>
    <n v="93604"/>
    <n v="1687696"/>
    <x v="1"/>
    <x v="1"/>
    <s v="No"/>
    <s v="Yes"/>
    <n v="4.9000000000000004"/>
    <x v="0"/>
    <n v="5"/>
    <s v="May"/>
  </r>
  <r>
    <s v="C0152"/>
    <s v="Vikram Rao"/>
    <n v="48"/>
    <x v="0"/>
    <x v="4"/>
    <s v="Karnataka"/>
    <s v="Mahindra"/>
    <x v="1"/>
    <x v="0"/>
    <x v="1"/>
    <s v="Automatic"/>
    <d v="2025-06-20T00:00:00"/>
    <d v="2025-07-14T00:00:00"/>
    <n v="1806072"/>
    <n v="10210"/>
    <n v="1795862"/>
    <x v="4"/>
    <x v="1"/>
    <s v="No"/>
    <s v="No"/>
    <n v="4.5999999999999996"/>
    <x v="0"/>
    <n v="7"/>
    <s v="July"/>
  </r>
  <r>
    <s v="C0153"/>
    <s v="Arjun Kumar"/>
    <n v="44"/>
    <x v="1"/>
    <x v="0"/>
    <s v="Telangana"/>
    <s v="Mahindra"/>
    <x v="2"/>
    <x v="0"/>
    <x v="1"/>
    <s v="Automatic"/>
    <d v="2025-08-24T00:00:00"/>
    <d v="2025-10-01T00:00:00"/>
    <n v="1609444"/>
    <n v="44737"/>
    <n v="1564707"/>
    <x v="2"/>
    <x v="2"/>
    <s v="Yes"/>
    <s v="No"/>
    <n v="4.4000000000000004"/>
    <x v="0"/>
    <n v="10"/>
    <s v="October"/>
  </r>
  <r>
    <s v="C0154"/>
    <s v="Meera Iyer"/>
    <n v="43"/>
    <x v="0"/>
    <x v="3"/>
    <s v="Maharashtra"/>
    <s v="Mahindra"/>
    <x v="1"/>
    <x v="3"/>
    <x v="0"/>
    <s v="Automatic"/>
    <d v="2025-10-23T00:00:00"/>
    <d v="2025-11-28T00:00:00"/>
    <n v="1877067"/>
    <n v="87836"/>
    <n v="1789231"/>
    <x v="3"/>
    <x v="4"/>
    <s v="No"/>
    <s v="No"/>
    <n v="4.0999999999999996"/>
    <x v="0"/>
    <n v="11"/>
    <s v="November"/>
  </r>
  <r>
    <s v="C0155"/>
    <s v="Vikram Rao"/>
    <n v="45"/>
    <x v="0"/>
    <x v="3"/>
    <s v="Maharashtra"/>
    <s v="Mahindra"/>
    <x v="0"/>
    <x v="1"/>
    <x v="0"/>
    <s v="Manual"/>
    <d v="2025-04-21T00:00:00"/>
    <d v="2025-06-02T00:00:00"/>
    <n v="1601859"/>
    <n v="40975"/>
    <n v="1560884"/>
    <x v="2"/>
    <x v="3"/>
    <s v="No"/>
    <s v="No"/>
    <n v="3.5"/>
    <x v="0"/>
    <n v="6"/>
    <s v="June"/>
  </r>
  <r>
    <s v="C0156"/>
    <s v="Rohit Singh"/>
    <n v="36"/>
    <x v="1"/>
    <x v="1"/>
    <s v="Tamil Nadu"/>
    <s v="Mahindra"/>
    <x v="1"/>
    <x v="4"/>
    <x v="1"/>
    <s v="Automatic"/>
    <d v="2025-05-05T00:00:00"/>
    <d v="2025-06-18T00:00:00"/>
    <n v="1470264"/>
    <n v="76943"/>
    <n v="1393321"/>
    <x v="4"/>
    <x v="2"/>
    <s v="Yes"/>
    <s v="No"/>
    <n v="4.2"/>
    <x v="0"/>
    <n v="6"/>
    <s v="June"/>
  </r>
  <r>
    <s v="C0157"/>
    <s v="Pooja Das"/>
    <n v="53"/>
    <x v="1"/>
    <x v="5"/>
    <s v="Tamil Nadu"/>
    <s v="Mahindra"/>
    <x v="0"/>
    <x v="4"/>
    <x v="1"/>
    <s v="Manual"/>
    <d v="2025-08-18T00:00:00"/>
    <d v="2025-09-06T00:00:00"/>
    <n v="1490804"/>
    <n v="28398"/>
    <n v="1462406"/>
    <x v="4"/>
    <x v="0"/>
    <s v="No"/>
    <s v="Yes"/>
    <n v="3.2"/>
    <x v="1"/>
    <n v="9"/>
    <s v="September"/>
  </r>
  <r>
    <s v="C0158"/>
    <s v="Anjali Verma"/>
    <n v="47"/>
    <x v="1"/>
    <x v="0"/>
    <s v="Telangana"/>
    <s v="Mahindra"/>
    <x v="1"/>
    <x v="2"/>
    <x v="0"/>
    <s v="Manual"/>
    <d v="2025-08-14T00:00:00"/>
    <d v="2025-08-31T00:00:00"/>
    <n v="1338634"/>
    <n v="52359"/>
    <n v="1286275"/>
    <x v="0"/>
    <x v="1"/>
    <s v="Yes"/>
    <s v="Yes"/>
    <n v="3.9"/>
    <x v="1"/>
    <n v="8"/>
    <s v="August"/>
  </r>
  <r>
    <s v="C0159"/>
    <s v="Anjali Verma"/>
    <n v="23"/>
    <x v="1"/>
    <x v="4"/>
    <s v="Karnataka"/>
    <s v="Mahindra"/>
    <x v="0"/>
    <x v="1"/>
    <x v="1"/>
    <s v="Manual"/>
    <d v="2025-05-19T00:00:00"/>
    <d v="2025-06-22T00:00:00"/>
    <n v="1731763"/>
    <n v="97878"/>
    <n v="1633885"/>
    <x v="1"/>
    <x v="0"/>
    <s v="No"/>
    <s v="No"/>
    <n v="3.7"/>
    <x v="0"/>
    <n v="6"/>
    <s v="June"/>
  </r>
  <r>
    <s v="C0160"/>
    <s v="Vikram Rao"/>
    <n v="44"/>
    <x v="0"/>
    <x v="4"/>
    <s v="Karnataka"/>
    <s v="Mahindra"/>
    <x v="1"/>
    <x v="3"/>
    <x v="0"/>
    <s v="Manual"/>
    <d v="2025-10-19T00:00:00"/>
    <d v="2025-11-17T00:00:00"/>
    <n v="1452767"/>
    <n v="10005"/>
    <n v="1442762"/>
    <x v="1"/>
    <x v="2"/>
    <s v="Yes"/>
    <s v="No"/>
    <n v="3.9"/>
    <x v="0"/>
    <n v="11"/>
    <s v="November"/>
  </r>
  <r>
    <s v="C0161"/>
    <s v="Arjun Kumar"/>
    <n v="58"/>
    <x v="1"/>
    <x v="3"/>
    <s v="Maharashtra"/>
    <s v="Mahindra"/>
    <x v="1"/>
    <x v="0"/>
    <x v="0"/>
    <s v="Manual"/>
    <d v="2025-09-22T00:00:00"/>
    <d v="2025-10-22T00:00:00"/>
    <n v="1828448"/>
    <n v="63342"/>
    <n v="1765106"/>
    <x v="3"/>
    <x v="1"/>
    <s v="Yes"/>
    <s v="No"/>
    <n v="3.9"/>
    <x v="0"/>
    <n v="10"/>
    <s v="October"/>
  </r>
  <r>
    <s v="C0162"/>
    <s v="Rohit Singh"/>
    <n v="34"/>
    <x v="0"/>
    <x v="3"/>
    <s v="Maharashtra"/>
    <s v="Mahindra"/>
    <x v="1"/>
    <x v="0"/>
    <x v="1"/>
    <s v="Automatic"/>
    <d v="2025-03-09T00:00:00"/>
    <d v="2025-04-22T00:00:00"/>
    <n v="1610839"/>
    <n v="94297"/>
    <n v="1516542"/>
    <x v="3"/>
    <x v="0"/>
    <s v="No"/>
    <s v="Yes"/>
    <n v="4.0999999999999996"/>
    <x v="0"/>
    <n v="4"/>
    <s v="April"/>
  </r>
  <r>
    <s v="C0163"/>
    <s v="Pooja Das"/>
    <n v="27"/>
    <x v="0"/>
    <x v="3"/>
    <s v="Maharashtra"/>
    <s v="Mahindra"/>
    <x v="1"/>
    <x v="1"/>
    <x v="1"/>
    <s v="Manual"/>
    <d v="2025-08-24T00:00:00"/>
    <d v="2025-10-04T00:00:00"/>
    <n v="1395991"/>
    <n v="72467"/>
    <n v="1323524"/>
    <x v="3"/>
    <x v="1"/>
    <s v="No"/>
    <s v="Yes"/>
    <n v="4.4000000000000004"/>
    <x v="0"/>
    <n v="10"/>
    <s v="October"/>
  </r>
  <r>
    <s v="C0164"/>
    <s v="Meera Iyer"/>
    <n v="36"/>
    <x v="1"/>
    <x v="0"/>
    <s v="Telangana"/>
    <s v="Mahindra"/>
    <x v="0"/>
    <x v="2"/>
    <x v="1"/>
    <s v="Manual"/>
    <d v="2026-01-20T00:00:00"/>
    <d v="2026-02-09T00:00:00"/>
    <n v="1369361"/>
    <n v="73546"/>
    <n v="1295815"/>
    <x v="2"/>
    <x v="3"/>
    <s v="Yes"/>
    <s v="No"/>
    <n v="4.8"/>
    <x v="1"/>
    <n v="2"/>
    <s v="February"/>
  </r>
  <r>
    <s v="C0165"/>
    <s v="Sneha Patel"/>
    <n v="45"/>
    <x v="0"/>
    <x v="0"/>
    <s v="Telangana"/>
    <s v="Mahindra"/>
    <x v="2"/>
    <x v="1"/>
    <x v="1"/>
    <s v="Automatic"/>
    <d v="2025-02-07T00:00:00"/>
    <d v="2025-02-28T00:00:00"/>
    <n v="1621557"/>
    <n v="14803"/>
    <n v="1606754"/>
    <x v="0"/>
    <x v="1"/>
    <s v="No"/>
    <s v="No"/>
    <n v="4.3"/>
    <x v="0"/>
    <n v="2"/>
    <s v="February"/>
  </r>
  <r>
    <s v="C0166"/>
    <s v="Anjali Verma"/>
    <n v="28"/>
    <x v="0"/>
    <x v="2"/>
    <s v="Tamil Nadu"/>
    <s v="Mahindra"/>
    <x v="2"/>
    <x v="1"/>
    <x v="1"/>
    <s v="Automatic"/>
    <d v="2025-01-28T00:00:00"/>
    <d v="2025-03-12T00:00:00"/>
    <n v="1517381"/>
    <n v="12303"/>
    <n v="1505078"/>
    <x v="0"/>
    <x v="4"/>
    <s v="No"/>
    <s v="Yes"/>
    <n v="3.2"/>
    <x v="0"/>
    <n v="3"/>
    <s v="March"/>
  </r>
  <r>
    <s v="C0167"/>
    <s v="Karthik S"/>
    <n v="44"/>
    <x v="0"/>
    <x v="0"/>
    <s v="Telangana"/>
    <s v="Mahindra"/>
    <x v="2"/>
    <x v="3"/>
    <x v="1"/>
    <s v="Automatic"/>
    <d v="2025-10-12T00:00:00"/>
    <d v="2025-11-20T00:00:00"/>
    <n v="1731163"/>
    <n v="11792"/>
    <n v="1719371"/>
    <x v="0"/>
    <x v="3"/>
    <s v="Yes"/>
    <s v="No"/>
    <n v="3.3"/>
    <x v="0"/>
    <n v="11"/>
    <s v="November"/>
  </r>
  <r>
    <s v="C0168"/>
    <s v="Meera Iyer"/>
    <n v="59"/>
    <x v="1"/>
    <x v="0"/>
    <s v="Telangana"/>
    <s v="Mahindra"/>
    <x v="1"/>
    <x v="1"/>
    <x v="0"/>
    <s v="Manual"/>
    <d v="2026-04-22T00:00:00"/>
    <d v="2026-05-08T00:00:00"/>
    <n v="1844058"/>
    <n v="73528"/>
    <n v="1770530"/>
    <x v="0"/>
    <x v="2"/>
    <s v="Yes"/>
    <s v="Yes"/>
    <n v="4.5"/>
    <x v="1"/>
    <n v="5"/>
    <s v="May"/>
  </r>
  <r>
    <s v="C0169"/>
    <s v="Rahul Sharma"/>
    <n v="23"/>
    <x v="1"/>
    <x v="1"/>
    <s v="Tamil Nadu"/>
    <s v="Mahindra"/>
    <x v="2"/>
    <x v="4"/>
    <x v="1"/>
    <s v="Automatic"/>
    <d v="2025-09-02T00:00:00"/>
    <d v="2025-09-13T00:00:00"/>
    <n v="1370571"/>
    <n v="13632"/>
    <n v="1356939"/>
    <x v="3"/>
    <x v="2"/>
    <s v="No"/>
    <s v="No"/>
    <n v="4"/>
    <x v="1"/>
    <n v="9"/>
    <s v="September"/>
  </r>
  <r>
    <s v="C0170"/>
    <s v="Meera Iyer"/>
    <n v="33"/>
    <x v="0"/>
    <x v="1"/>
    <s v="Tamil Nadu"/>
    <s v="Mahindra"/>
    <x v="1"/>
    <x v="1"/>
    <x v="1"/>
    <s v="Manual"/>
    <d v="2025-02-07T00:00:00"/>
    <d v="2025-03-11T00:00:00"/>
    <n v="1800070"/>
    <n v="46941"/>
    <n v="1753129"/>
    <x v="2"/>
    <x v="2"/>
    <s v="No"/>
    <s v="Yes"/>
    <n v="4.4000000000000004"/>
    <x v="0"/>
    <n v="3"/>
    <s v="March"/>
  </r>
  <r>
    <s v="C0171"/>
    <s v="Arjun Kumar"/>
    <n v="25"/>
    <x v="1"/>
    <x v="5"/>
    <s v="Tamil Nadu"/>
    <s v="Mahindra"/>
    <x v="1"/>
    <x v="1"/>
    <x v="0"/>
    <s v="Automatic"/>
    <d v="2026-03-27T00:00:00"/>
    <d v="2026-05-08T00:00:00"/>
    <n v="1759898"/>
    <n v="16239"/>
    <n v="1743659"/>
    <x v="4"/>
    <x v="2"/>
    <s v="No"/>
    <s v="No"/>
    <n v="3.5"/>
    <x v="0"/>
    <n v="5"/>
    <s v="May"/>
  </r>
  <r>
    <s v="C0172"/>
    <s v="Rohit Singh"/>
    <n v="60"/>
    <x v="1"/>
    <x v="0"/>
    <s v="Telangana"/>
    <s v="Mahindra"/>
    <x v="1"/>
    <x v="3"/>
    <x v="0"/>
    <s v="Automatic"/>
    <d v="2026-02-19T00:00:00"/>
    <d v="2026-04-04T00:00:00"/>
    <n v="1871412"/>
    <n v="38818"/>
    <n v="1832594"/>
    <x v="3"/>
    <x v="2"/>
    <s v="No"/>
    <s v="Yes"/>
    <n v="3"/>
    <x v="0"/>
    <n v="4"/>
    <s v="April"/>
  </r>
  <r>
    <s v="C0173"/>
    <s v="Anjali Verma"/>
    <n v="46"/>
    <x v="0"/>
    <x v="0"/>
    <s v="Telangana"/>
    <s v="Mahindra"/>
    <x v="0"/>
    <x v="0"/>
    <x v="0"/>
    <s v="Manual"/>
    <d v="2026-03-30T00:00:00"/>
    <d v="2026-04-21T00:00:00"/>
    <n v="1684606"/>
    <n v="18534"/>
    <n v="1666072"/>
    <x v="0"/>
    <x v="4"/>
    <s v="No"/>
    <s v="No"/>
    <n v="3.2"/>
    <x v="0"/>
    <n v="4"/>
    <s v="April"/>
  </r>
  <r>
    <s v="C0174"/>
    <s v="Meera Iyer"/>
    <n v="33"/>
    <x v="0"/>
    <x v="3"/>
    <s v="Maharashtra"/>
    <s v="Mahindra"/>
    <x v="0"/>
    <x v="4"/>
    <x v="0"/>
    <s v="Automatic"/>
    <d v="2026-02-21T00:00:00"/>
    <d v="2026-04-01T00:00:00"/>
    <n v="1893454"/>
    <n v="35470"/>
    <n v="1857984"/>
    <x v="3"/>
    <x v="2"/>
    <s v="No"/>
    <s v="Yes"/>
    <n v="4.8"/>
    <x v="0"/>
    <n v="4"/>
    <s v="April"/>
  </r>
  <r>
    <s v="C0175"/>
    <s v="Meera Iyer"/>
    <n v="36"/>
    <x v="1"/>
    <x v="4"/>
    <s v="Karnataka"/>
    <s v="Mahindra"/>
    <x v="0"/>
    <x v="4"/>
    <x v="0"/>
    <s v="Manual"/>
    <d v="2025-01-12T00:00:00"/>
    <d v="2025-02-13T00:00:00"/>
    <n v="1300468"/>
    <n v="26328"/>
    <n v="1274140"/>
    <x v="3"/>
    <x v="3"/>
    <s v="Yes"/>
    <s v="Yes"/>
    <n v="3.8"/>
    <x v="0"/>
    <n v="2"/>
    <s v="February"/>
  </r>
  <r>
    <s v="C0176"/>
    <s v="Rahul Sharma"/>
    <n v="30"/>
    <x v="0"/>
    <x v="1"/>
    <s v="Tamil Nadu"/>
    <s v="Mahindra"/>
    <x v="1"/>
    <x v="4"/>
    <x v="0"/>
    <s v="Manual"/>
    <d v="2025-03-22T00:00:00"/>
    <d v="2025-04-08T00:00:00"/>
    <n v="1549826"/>
    <n v="85409"/>
    <n v="1464417"/>
    <x v="3"/>
    <x v="2"/>
    <s v="No"/>
    <s v="No"/>
    <n v="3.4"/>
    <x v="1"/>
    <n v="4"/>
    <s v="April"/>
  </r>
  <r>
    <s v="C0177"/>
    <s v="Anjali Verma"/>
    <n v="56"/>
    <x v="1"/>
    <x v="4"/>
    <s v="Karnataka"/>
    <s v="Mahindra"/>
    <x v="1"/>
    <x v="2"/>
    <x v="1"/>
    <s v="Manual"/>
    <d v="2025-01-03T00:00:00"/>
    <d v="2025-02-09T00:00:00"/>
    <n v="1373916"/>
    <n v="70995"/>
    <n v="1302921"/>
    <x v="3"/>
    <x v="3"/>
    <s v="Yes"/>
    <s v="Yes"/>
    <n v="3.1"/>
    <x v="0"/>
    <n v="2"/>
    <s v="February"/>
  </r>
  <r>
    <s v="C0178"/>
    <s v="Rohit Singh"/>
    <n v="32"/>
    <x v="0"/>
    <x v="3"/>
    <s v="Maharashtra"/>
    <s v="Mahindra"/>
    <x v="1"/>
    <x v="3"/>
    <x v="0"/>
    <s v="Manual"/>
    <d v="2026-01-08T00:00:00"/>
    <d v="2026-01-28T00:00:00"/>
    <n v="1751844"/>
    <n v="24103"/>
    <n v="1727741"/>
    <x v="4"/>
    <x v="0"/>
    <s v="Yes"/>
    <s v="No"/>
    <n v="3.2"/>
    <x v="1"/>
    <n v="1"/>
    <s v="January"/>
  </r>
  <r>
    <s v="C0179"/>
    <s v="Meera Iyer"/>
    <n v="55"/>
    <x v="0"/>
    <x v="2"/>
    <s v="Tamil Nadu"/>
    <s v="Mahindra"/>
    <x v="1"/>
    <x v="2"/>
    <x v="1"/>
    <s v="Automatic"/>
    <d v="2025-09-18T00:00:00"/>
    <d v="2025-10-03T00:00:00"/>
    <n v="1410794"/>
    <n v="57403"/>
    <n v="1353391"/>
    <x v="3"/>
    <x v="0"/>
    <s v="No"/>
    <s v="No"/>
    <n v="4.5999999999999996"/>
    <x v="1"/>
    <n v="10"/>
    <s v="October"/>
  </r>
  <r>
    <s v="C0180"/>
    <s v="Vikram Rao"/>
    <n v="28"/>
    <x v="0"/>
    <x v="5"/>
    <s v="Tamil Nadu"/>
    <s v="Mahindra"/>
    <x v="2"/>
    <x v="0"/>
    <x v="0"/>
    <s v="Manual"/>
    <d v="2025-10-11T00:00:00"/>
    <d v="2025-10-25T00:00:00"/>
    <n v="1306504"/>
    <n v="10730"/>
    <n v="1295774"/>
    <x v="0"/>
    <x v="2"/>
    <s v="No"/>
    <s v="No"/>
    <n v="4.4000000000000004"/>
    <x v="1"/>
    <n v="10"/>
    <s v="October"/>
  </r>
  <r>
    <s v="C0181"/>
    <s v="Rahul Sharma"/>
    <n v="35"/>
    <x v="0"/>
    <x v="4"/>
    <s v="Karnataka"/>
    <s v="Mahindra"/>
    <x v="1"/>
    <x v="3"/>
    <x v="0"/>
    <s v="Automatic"/>
    <d v="2025-03-05T00:00:00"/>
    <d v="2025-03-30T00:00:00"/>
    <n v="1658685"/>
    <n v="77123"/>
    <n v="1581562"/>
    <x v="0"/>
    <x v="0"/>
    <s v="No"/>
    <s v="Yes"/>
    <n v="5"/>
    <x v="0"/>
    <n v="3"/>
    <s v="March"/>
  </r>
  <r>
    <s v="C0182"/>
    <s v="Anjali Verma"/>
    <n v="39"/>
    <x v="0"/>
    <x v="0"/>
    <s v="Telangana"/>
    <s v="Mahindra"/>
    <x v="1"/>
    <x v="4"/>
    <x v="0"/>
    <s v="Automatic"/>
    <d v="2026-04-27T00:00:00"/>
    <d v="2026-05-30T00:00:00"/>
    <n v="1862389"/>
    <n v="36457"/>
    <n v="1825932"/>
    <x v="4"/>
    <x v="1"/>
    <s v="No"/>
    <s v="No"/>
    <n v="3.1"/>
    <x v="0"/>
    <n v="5"/>
    <s v="May"/>
  </r>
  <r>
    <s v="C0183"/>
    <s v="Sneha Patel"/>
    <n v="30"/>
    <x v="0"/>
    <x v="5"/>
    <s v="Tamil Nadu"/>
    <s v="Mahindra"/>
    <x v="2"/>
    <x v="3"/>
    <x v="1"/>
    <s v="Manual"/>
    <d v="2025-06-17T00:00:00"/>
    <d v="2025-07-27T00:00:00"/>
    <n v="1675846"/>
    <n v="22582"/>
    <n v="1653264"/>
    <x v="0"/>
    <x v="2"/>
    <s v="Yes"/>
    <s v="Yes"/>
    <n v="3.1"/>
    <x v="0"/>
    <n v="7"/>
    <s v="July"/>
  </r>
  <r>
    <s v="C0184"/>
    <s v="Sneha Patel"/>
    <n v="37"/>
    <x v="0"/>
    <x v="3"/>
    <s v="Maharashtra"/>
    <s v="Mahindra"/>
    <x v="2"/>
    <x v="0"/>
    <x v="1"/>
    <s v="Automatic"/>
    <d v="2025-06-10T00:00:00"/>
    <d v="2025-06-30T00:00:00"/>
    <n v="1773307"/>
    <n v="73970"/>
    <n v="1699337"/>
    <x v="3"/>
    <x v="3"/>
    <s v="Yes"/>
    <s v="Yes"/>
    <n v="4.4000000000000004"/>
    <x v="1"/>
    <n v="6"/>
    <s v="June"/>
  </r>
  <r>
    <s v="C0185"/>
    <s v="Vikram Rao"/>
    <n v="48"/>
    <x v="0"/>
    <x v="5"/>
    <s v="Tamil Nadu"/>
    <s v="Mahindra"/>
    <x v="1"/>
    <x v="4"/>
    <x v="0"/>
    <s v="Manual"/>
    <d v="2025-10-12T00:00:00"/>
    <d v="2025-11-08T00:00:00"/>
    <n v="1869417"/>
    <n v="40836"/>
    <n v="1828581"/>
    <x v="3"/>
    <x v="3"/>
    <s v="Yes"/>
    <s v="Yes"/>
    <n v="4.7"/>
    <x v="0"/>
    <n v="11"/>
    <s v="November"/>
  </r>
  <r>
    <s v="C0186"/>
    <s v="Karthik S"/>
    <n v="50"/>
    <x v="0"/>
    <x v="2"/>
    <s v="Tamil Nadu"/>
    <s v="Mahindra"/>
    <x v="1"/>
    <x v="2"/>
    <x v="0"/>
    <s v="Manual"/>
    <d v="2025-07-17T00:00:00"/>
    <d v="2025-08-24T00:00:00"/>
    <n v="1651957"/>
    <n v="80238"/>
    <n v="1571719"/>
    <x v="1"/>
    <x v="2"/>
    <s v="No"/>
    <s v="Yes"/>
    <n v="4.5999999999999996"/>
    <x v="0"/>
    <n v="8"/>
    <s v="August"/>
  </r>
  <r>
    <s v="C0187"/>
    <s v="Pooja Das"/>
    <n v="60"/>
    <x v="0"/>
    <x v="3"/>
    <s v="Maharashtra"/>
    <s v="Mahindra"/>
    <x v="1"/>
    <x v="1"/>
    <x v="0"/>
    <s v="Manual"/>
    <d v="2026-04-20T00:00:00"/>
    <d v="2026-05-04T00:00:00"/>
    <n v="1582722"/>
    <n v="72588"/>
    <n v="1510134"/>
    <x v="4"/>
    <x v="1"/>
    <s v="Yes"/>
    <s v="No"/>
    <n v="4.3"/>
    <x v="1"/>
    <n v="5"/>
    <s v="May"/>
  </r>
  <r>
    <s v="C0188"/>
    <s v="Vikram Rao"/>
    <n v="40"/>
    <x v="1"/>
    <x v="5"/>
    <s v="Tamil Nadu"/>
    <s v="Mahindra"/>
    <x v="0"/>
    <x v="3"/>
    <x v="0"/>
    <s v="Automatic"/>
    <d v="2025-05-15T00:00:00"/>
    <d v="2025-06-09T00:00:00"/>
    <n v="1563942"/>
    <n v="48320"/>
    <n v="1515622"/>
    <x v="2"/>
    <x v="4"/>
    <s v="No"/>
    <s v="No"/>
    <n v="3.2"/>
    <x v="0"/>
    <n v="6"/>
    <s v="June"/>
  </r>
  <r>
    <s v="C0189"/>
    <s v="Arjun Kumar"/>
    <n v="44"/>
    <x v="1"/>
    <x v="2"/>
    <s v="Tamil Nadu"/>
    <s v="Mahindra"/>
    <x v="0"/>
    <x v="3"/>
    <x v="0"/>
    <s v="Automatic"/>
    <d v="2025-11-15T00:00:00"/>
    <d v="2025-12-20T00:00:00"/>
    <n v="1795269"/>
    <n v="94484"/>
    <n v="1700785"/>
    <x v="4"/>
    <x v="3"/>
    <s v="Yes"/>
    <s v="No"/>
    <n v="3.8"/>
    <x v="0"/>
    <n v="12"/>
    <s v="December"/>
  </r>
  <r>
    <s v="C0190"/>
    <s v="Rohit Singh"/>
    <n v="37"/>
    <x v="0"/>
    <x v="4"/>
    <s v="Karnataka"/>
    <s v="Mahindra"/>
    <x v="1"/>
    <x v="0"/>
    <x v="1"/>
    <s v="Automatic"/>
    <d v="2025-05-14T00:00:00"/>
    <d v="2025-06-23T00:00:00"/>
    <n v="1804268"/>
    <n v="56809"/>
    <n v="1747459"/>
    <x v="1"/>
    <x v="1"/>
    <s v="Yes"/>
    <s v="Yes"/>
    <n v="3.8"/>
    <x v="0"/>
    <n v="6"/>
    <s v="June"/>
  </r>
  <r>
    <s v="C0191"/>
    <s v="Priya Nair"/>
    <n v="37"/>
    <x v="1"/>
    <x v="5"/>
    <s v="Tamil Nadu"/>
    <s v="Mahindra"/>
    <x v="0"/>
    <x v="2"/>
    <x v="1"/>
    <s v="Automatic"/>
    <d v="2025-11-13T00:00:00"/>
    <d v="2025-12-16T00:00:00"/>
    <n v="1896925"/>
    <n v="67840"/>
    <n v="1829085"/>
    <x v="0"/>
    <x v="1"/>
    <s v="No"/>
    <s v="No"/>
    <n v="5"/>
    <x v="0"/>
    <n v="12"/>
    <s v="December"/>
  </r>
  <r>
    <s v="C0192"/>
    <s v="Rohit Singh"/>
    <n v="44"/>
    <x v="0"/>
    <x v="4"/>
    <s v="Karnataka"/>
    <s v="Mahindra"/>
    <x v="1"/>
    <x v="4"/>
    <x v="1"/>
    <s v="Manual"/>
    <d v="2026-05-18T00:00:00"/>
    <d v="2026-05-30T00:00:00"/>
    <n v="1546253"/>
    <n v="85242"/>
    <n v="1461011"/>
    <x v="3"/>
    <x v="3"/>
    <s v="No"/>
    <s v="Yes"/>
    <n v="3.1"/>
    <x v="1"/>
    <n v="5"/>
    <s v="May"/>
  </r>
  <r>
    <s v="C0193"/>
    <s v="Meera Iyer"/>
    <n v="48"/>
    <x v="0"/>
    <x v="5"/>
    <s v="Tamil Nadu"/>
    <s v="Mahindra"/>
    <x v="1"/>
    <x v="2"/>
    <x v="1"/>
    <s v="Automatic"/>
    <d v="2026-04-25T00:00:00"/>
    <d v="2026-05-07T00:00:00"/>
    <n v="1822569"/>
    <n v="53247"/>
    <n v="1769322"/>
    <x v="0"/>
    <x v="4"/>
    <s v="No"/>
    <s v="No"/>
    <n v="3.3"/>
    <x v="1"/>
    <n v="5"/>
    <s v="May"/>
  </r>
  <r>
    <s v="C0194"/>
    <s v="Vikram Rao"/>
    <n v="48"/>
    <x v="1"/>
    <x v="1"/>
    <s v="Tamil Nadu"/>
    <s v="Mahindra"/>
    <x v="2"/>
    <x v="4"/>
    <x v="1"/>
    <s v="Automatic"/>
    <d v="2026-01-23T00:00:00"/>
    <d v="2026-02-18T00:00:00"/>
    <n v="1447373"/>
    <n v="76923"/>
    <n v="1370450"/>
    <x v="4"/>
    <x v="0"/>
    <s v="Yes"/>
    <s v="Yes"/>
    <n v="3"/>
    <x v="0"/>
    <n v="2"/>
    <s v="February"/>
  </r>
  <r>
    <s v="C0195"/>
    <s v="Priya Nair"/>
    <n v="49"/>
    <x v="0"/>
    <x v="1"/>
    <s v="Tamil Nadu"/>
    <s v="Mahindra"/>
    <x v="0"/>
    <x v="1"/>
    <x v="0"/>
    <s v="Automatic"/>
    <d v="2025-09-18T00:00:00"/>
    <d v="2025-10-13T00:00:00"/>
    <n v="1769431"/>
    <n v="50404"/>
    <n v="1719027"/>
    <x v="3"/>
    <x v="2"/>
    <s v="Yes"/>
    <s v="No"/>
    <n v="4.4000000000000004"/>
    <x v="0"/>
    <n v="10"/>
    <s v="October"/>
  </r>
  <r>
    <s v="C0196"/>
    <s v="Karthik S"/>
    <n v="48"/>
    <x v="1"/>
    <x v="3"/>
    <s v="Maharashtra"/>
    <s v="Mahindra"/>
    <x v="2"/>
    <x v="4"/>
    <x v="0"/>
    <s v="Manual"/>
    <d v="2026-04-03T00:00:00"/>
    <d v="2026-04-18T00:00:00"/>
    <n v="1604126"/>
    <n v="35346"/>
    <n v="1568780"/>
    <x v="4"/>
    <x v="0"/>
    <s v="No"/>
    <s v="No"/>
    <n v="4.8"/>
    <x v="1"/>
    <n v="4"/>
    <s v="April"/>
  </r>
  <r>
    <s v="C0197"/>
    <s v="Rahul Sharma"/>
    <n v="45"/>
    <x v="0"/>
    <x v="4"/>
    <s v="Karnataka"/>
    <s v="Mahindra"/>
    <x v="0"/>
    <x v="2"/>
    <x v="1"/>
    <s v="Manual"/>
    <d v="2025-04-08T00:00:00"/>
    <d v="2025-05-01T00:00:00"/>
    <n v="1841896"/>
    <n v="75389"/>
    <n v="1766507"/>
    <x v="3"/>
    <x v="4"/>
    <s v="Yes"/>
    <s v="Yes"/>
    <n v="3.3"/>
    <x v="0"/>
    <n v="5"/>
    <s v="May"/>
  </r>
  <r>
    <s v="C0198"/>
    <s v="Rahul Sharma"/>
    <n v="21"/>
    <x v="0"/>
    <x v="5"/>
    <s v="Tamil Nadu"/>
    <s v="Mahindra"/>
    <x v="1"/>
    <x v="3"/>
    <x v="1"/>
    <s v="Automatic"/>
    <d v="2025-12-27T00:00:00"/>
    <d v="2026-02-08T00:00:00"/>
    <n v="1662691"/>
    <n v="45134"/>
    <n v="1617557"/>
    <x v="3"/>
    <x v="3"/>
    <s v="Yes"/>
    <s v="Yes"/>
    <n v="3.1"/>
    <x v="0"/>
    <n v="2"/>
    <s v="February"/>
  </r>
  <r>
    <s v="C0199"/>
    <s v="Arjun Kumar"/>
    <n v="26"/>
    <x v="0"/>
    <x v="2"/>
    <s v="Tamil Nadu"/>
    <s v="Mahindra"/>
    <x v="0"/>
    <x v="0"/>
    <x v="1"/>
    <s v="Automatic"/>
    <d v="2025-05-27T00:00:00"/>
    <d v="2025-06-22T00:00:00"/>
    <n v="1348293"/>
    <n v="20020"/>
    <n v="1328273"/>
    <x v="2"/>
    <x v="4"/>
    <s v="Yes"/>
    <s v="Yes"/>
    <n v="4.0999999999999996"/>
    <x v="0"/>
    <n v="6"/>
    <s v="June"/>
  </r>
  <r>
    <s v="C0200"/>
    <s v="Karthik S"/>
    <n v="33"/>
    <x v="1"/>
    <x v="4"/>
    <s v="Karnataka"/>
    <s v="Mahindra"/>
    <x v="1"/>
    <x v="2"/>
    <x v="0"/>
    <s v="Automatic"/>
    <d v="2026-04-30T00:00:00"/>
    <d v="2026-05-24T00:00:00"/>
    <n v="1800524"/>
    <n v="54055"/>
    <n v="1746469"/>
    <x v="4"/>
    <x v="3"/>
    <s v="No"/>
    <s v="Yes"/>
    <n v="4.5999999999999996"/>
    <x v="0"/>
    <n v="5"/>
    <s v="May"/>
  </r>
  <r>
    <s v="C0201"/>
    <s v="Arjun Kumar"/>
    <n v="37"/>
    <x v="1"/>
    <x v="0"/>
    <s v="Telangana"/>
    <s v="Mahindra"/>
    <x v="2"/>
    <x v="1"/>
    <x v="1"/>
    <s v="Automatic"/>
    <d v="2025-10-19T00:00:00"/>
    <d v="2025-11-26T00:00:00"/>
    <n v="1535485"/>
    <n v="51914"/>
    <n v="1483571"/>
    <x v="3"/>
    <x v="0"/>
    <s v="Yes"/>
    <s v="Yes"/>
    <n v="4.0999999999999996"/>
    <x v="0"/>
    <n v="11"/>
    <s v="November"/>
  </r>
  <r>
    <s v="C0202"/>
    <s v="Meera Iyer"/>
    <n v="51"/>
    <x v="0"/>
    <x v="0"/>
    <s v="Telangana"/>
    <s v="Mahindra"/>
    <x v="2"/>
    <x v="2"/>
    <x v="0"/>
    <s v="Manual"/>
    <d v="2026-05-21T00:00:00"/>
    <d v="2026-06-25T00:00:00"/>
    <n v="1420193"/>
    <n v="54930"/>
    <n v="1365263"/>
    <x v="0"/>
    <x v="2"/>
    <s v="No"/>
    <s v="Yes"/>
    <n v="4.4000000000000004"/>
    <x v="0"/>
    <n v="6"/>
    <s v="June"/>
  </r>
  <r>
    <s v="C0203"/>
    <s v="Meera Iyer"/>
    <n v="25"/>
    <x v="0"/>
    <x v="4"/>
    <s v="Karnataka"/>
    <s v="Mahindra"/>
    <x v="0"/>
    <x v="3"/>
    <x v="1"/>
    <s v="Automatic"/>
    <d v="2025-03-31T00:00:00"/>
    <d v="2025-04-09T00:00:00"/>
    <n v="1542667"/>
    <n v="59657"/>
    <n v="1483010"/>
    <x v="2"/>
    <x v="4"/>
    <s v="No"/>
    <s v="Yes"/>
    <n v="4.9000000000000004"/>
    <x v="2"/>
    <n v="4"/>
    <s v="April"/>
  </r>
  <r>
    <s v="C0204"/>
    <s v="Priya Nair"/>
    <n v="48"/>
    <x v="0"/>
    <x v="2"/>
    <s v="Tamil Nadu"/>
    <s v="Mahindra"/>
    <x v="0"/>
    <x v="0"/>
    <x v="0"/>
    <s v="Automatic"/>
    <d v="2025-11-07T00:00:00"/>
    <d v="2025-11-24T00:00:00"/>
    <n v="1619694"/>
    <n v="37783"/>
    <n v="1581911"/>
    <x v="0"/>
    <x v="1"/>
    <s v="Yes"/>
    <s v="Yes"/>
    <n v="4.3"/>
    <x v="1"/>
    <n v="11"/>
    <s v="November"/>
  </r>
  <r>
    <s v="C0205"/>
    <s v="Sneha Patel"/>
    <n v="35"/>
    <x v="1"/>
    <x v="0"/>
    <s v="Telangana"/>
    <s v="Mahindra"/>
    <x v="1"/>
    <x v="2"/>
    <x v="0"/>
    <s v="Manual"/>
    <d v="2026-03-26T00:00:00"/>
    <d v="2026-04-21T00:00:00"/>
    <n v="1875475"/>
    <n v="38705"/>
    <n v="1836770"/>
    <x v="3"/>
    <x v="0"/>
    <s v="No"/>
    <s v="No"/>
    <n v="3.6"/>
    <x v="0"/>
    <n v="4"/>
    <s v="April"/>
  </r>
  <r>
    <s v="C0206"/>
    <s v="Meera Iyer"/>
    <n v="35"/>
    <x v="1"/>
    <x v="3"/>
    <s v="Maharashtra"/>
    <s v="Mahindra"/>
    <x v="2"/>
    <x v="0"/>
    <x v="0"/>
    <s v="Automatic"/>
    <d v="2026-02-06T00:00:00"/>
    <d v="2026-03-23T00:00:00"/>
    <n v="1629134"/>
    <n v="29465"/>
    <n v="1599669"/>
    <x v="4"/>
    <x v="2"/>
    <s v="Yes"/>
    <s v="No"/>
    <n v="3.3"/>
    <x v="0"/>
    <n v="3"/>
    <s v="March"/>
  </r>
  <r>
    <s v="C0207"/>
    <s v="Priya Nair"/>
    <n v="35"/>
    <x v="1"/>
    <x v="4"/>
    <s v="Karnataka"/>
    <s v="Mahindra"/>
    <x v="0"/>
    <x v="3"/>
    <x v="1"/>
    <s v="Automatic"/>
    <d v="2025-05-22T00:00:00"/>
    <d v="2025-07-03T00:00:00"/>
    <n v="1899803"/>
    <n v="64815"/>
    <n v="1834988"/>
    <x v="2"/>
    <x v="1"/>
    <s v="No"/>
    <s v="No"/>
    <n v="3.7"/>
    <x v="0"/>
    <n v="7"/>
    <s v="July"/>
  </r>
  <r>
    <s v="C0208"/>
    <s v="Vikram Rao"/>
    <n v="51"/>
    <x v="1"/>
    <x v="4"/>
    <s v="Karnataka"/>
    <s v="Mahindra"/>
    <x v="1"/>
    <x v="1"/>
    <x v="1"/>
    <s v="Automatic"/>
    <d v="2026-05-17T00:00:00"/>
    <d v="2026-06-06T00:00:00"/>
    <n v="1729968"/>
    <n v="53266"/>
    <n v="1676702"/>
    <x v="3"/>
    <x v="4"/>
    <s v="Yes"/>
    <s v="Yes"/>
    <n v="3.7"/>
    <x v="1"/>
    <n v="6"/>
    <s v="June"/>
  </r>
  <r>
    <s v="C0209"/>
    <s v="Priya Nair"/>
    <n v="52"/>
    <x v="1"/>
    <x v="1"/>
    <s v="Tamil Nadu"/>
    <s v="Mahindra"/>
    <x v="1"/>
    <x v="4"/>
    <x v="0"/>
    <s v="Automatic"/>
    <d v="2025-12-27T00:00:00"/>
    <d v="2026-01-12T00:00:00"/>
    <n v="1773863"/>
    <n v="21053"/>
    <n v="1752810"/>
    <x v="1"/>
    <x v="4"/>
    <s v="No"/>
    <s v="No"/>
    <n v="3.9"/>
    <x v="1"/>
    <n v="1"/>
    <s v="January"/>
  </r>
  <r>
    <s v="C0210"/>
    <s v="Anjali Verma"/>
    <n v="48"/>
    <x v="0"/>
    <x v="3"/>
    <s v="Maharashtra"/>
    <s v="Mahindra"/>
    <x v="1"/>
    <x v="1"/>
    <x v="1"/>
    <s v="Manual"/>
    <d v="2025-08-15T00:00:00"/>
    <d v="2025-09-18T00:00:00"/>
    <n v="1625433"/>
    <n v="39785"/>
    <n v="1585648"/>
    <x v="0"/>
    <x v="1"/>
    <s v="No"/>
    <s v="No"/>
    <n v="4.9000000000000004"/>
    <x v="0"/>
    <n v="9"/>
    <s v="September"/>
  </r>
  <r>
    <s v="C0211"/>
    <s v="Anjali Verma"/>
    <n v="47"/>
    <x v="1"/>
    <x v="4"/>
    <s v="Karnataka"/>
    <s v="Mahindra"/>
    <x v="0"/>
    <x v="4"/>
    <x v="1"/>
    <s v="Automatic"/>
    <d v="2025-03-24T00:00:00"/>
    <d v="2025-04-16T00:00:00"/>
    <n v="1893383"/>
    <n v="19870"/>
    <n v="1873513"/>
    <x v="3"/>
    <x v="4"/>
    <s v="Yes"/>
    <s v="Yes"/>
    <n v="4.3"/>
    <x v="0"/>
    <n v="4"/>
    <s v="April"/>
  </r>
  <r>
    <s v="C0212"/>
    <s v="Vikram Rao"/>
    <n v="42"/>
    <x v="1"/>
    <x v="1"/>
    <s v="Tamil Nadu"/>
    <s v="Mahindra"/>
    <x v="0"/>
    <x v="0"/>
    <x v="1"/>
    <s v="Automatic"/>
    <d v="2026-05-16T00:00:00"/>
    <d v="2026-06-07T00:00:00"/>
    <n v="1650769"/>
    <n v="20214"/>
    <n v="1630555"/>
    <x v="4"/>
    <x v="4"/>
    <s v="No"/>
    <s v="No"/>
    <n v="4.9000000000000004"/>
    <x v="0"/>
    <n v="6"/>
    <s v="June"/>
  </r>
  <r>
    <s v="C0213"/>
    <s v="Pooja Das"/>
    <n v="57"/>
    <x v="0"/>
    <x v="3"/>
    <s v="Maharashtra"/>
    <s v="Mahindra"/>
    <x v="1"/>
    <x v="2"/>
    <x v="0"/>
    <s v="Manual"/>
    <d v="2026-01-03T00:00:00"/>
    <d v="2026-01-20T00:00:00"/>
    <n v="1612133"/>
    <n v="62557"/>
    <n v="1549576"/>
    <x v="4"/>
    <x v="0"/>
    <s v="Yes"/>
    <s v="No"/>
    <n v="4.5999999999999996"/>
    <x v="1"/>
    <n v="1"/>
    <s v="January"/>
  </r>
  <r>
    <s v="C0214"/>
    <s v="Vikram Rao"/>
    <n v="28"/>
    <x v="1"/>
    <x v="4"/>
    <s v="Karnataka"/>
    <s v="Mahindra"/>
    <x v="1"/>
    <x v="1"/>
    <x v="0"/>
    <s v="Automatic"/>
    <d v="2026-03-09T00:00:00"/>
    <d v="2026-04-21T00:00:00"/>
    <n v="1661693"/>
    <n v="47131"/>
    <n v="1614562"/>
    <x v="1"/>
    <x v="0"/>
    <s v="Yes"/>
    <s v="No"/>
    <n v="4.5999999999999996"/>
    <x v="0"/>
    <n v="4"/>
    <s v="April"/>
  </r>
  <r>
    <s v="C0215"/>
    <s v="Karthik S"/>
    <n v="24"/>
    <x v="1"/>
    <x v="2"/>
    <s v="Tamil Nadu"/>
    <s v="Mahindra"/>
    <x v="1"/>
    <x v="4"/>
    <x v="0"/>
    <s v="Automatic"/>
    <d v="2025-01-19T00:00:00"/>
    <d v="2025-01-27T00:00:00"/>
    <n v="1446835"/>
    <n v="35109"/>
    <n v="1411726"/>
    <x v="4"/>
    <x v="0"/>
    <s v="No"/>
    <s v="No"/>
    <n v="4.7"/>
    <x v="2"/>
    <n v="1"/>
    <s v="January"/>
  </r>
  <r>
    <s v="C0216"/>
    <s v="Anjali Verma"/>
    <n v="21"/>
    <x v="0"/>
    <x v="1"/>
    <s v="Tamil Nadu"/>
    <s v="Mahindra"/>
    <x v="2"/>
    <x v="3"/>
    <x v="1"/>
    <s v="Automatic"/>
    <d v="2025-01-25T00:00:00"/>
    <d v="2025-02-28T00:00:00"/>
    <n v="1657890"/>
    <n v="62730"/>
    <n v="1595160"/>
    <x v="2"/>
    <x v="0"/>
    <s v="Yes"/>
    <s v="No"/>
    <n v="4.2"/>
    <x v="0"/>
    <n v="2"/>
    <s v="February"/>
  </r>
  <r>
    <s v="C0217"/>
    <s v="Sneha Patel"/>
    <n v="22"/>
    <x v="1"/>
    <x v="1"/>
    <s v="Tamil Nadu"/>
    <s v="Mahindra"/>
    <x v="2"/>
    <x v="4"/>
    <x v="0"/>
    <s v="Automatic"/>
    <d v="2026-03-26T00:00:00"/>
    <d v="2026-04-08T00:00:00"/>
    <n v="1333238"/>
    <n v="78720"/>
    <n v="1254518"/>
    <x v="2"/>
    <x v="0"/>
    <s v="Yes"/>
    <s v="Yes"/>
    <n v="3.4"/>
    <x v="1"/>
    <n v="4"/>
    <s v="April"/>
  </r>
  <r>
    <s v="C0218"/>
    <s v="Karthik S"/>
    <n v="48"/>
    <x v="1"/>
    <x v="5"/>
    <s v="Tamil Nadu"/>
    <s v="Mahindra"/>
    <x v="1"/>
    <x v="0"/>
    <x v="1"/>
    <s v="Automatic"/>
    <d v="2025-04-21T00:00:00"/>
    <d v="2025-05-05T00:00:00"/>
    <n v="1501642"/>
    <n v="17604"/>
    <n v="1484038"/>
    <x v="4"/>
    <x v="3"/>
    <s v="Yes"/>
    <s v="Yes"/>
    <n v="5"/>
    <x v="1"/>
    <n v="5"/>
    <s v="May"/>
  </r>
  <r>
    <s v="C0219"/>
    <s v="Arjun Kumar"/>
    <n v="21"/>
    <x v="1"/>
    <x v="4"/>
    <s v="Karnataka"/>
    <s v="Mahindra"/>
    <x v="0"/>
    <x v="0"/>
    <x v="0"/>
    <s v="Automatic"/>
    <d v="2025-07-24T00:00:00"/>
    <d v="2025-08-16T00:00:00"/>
    <n v="1411649"/>
    <n v="67947"/>
    <n v="1343702"/>
    <x v="2"/>
    <x v="2"/>
    <s v="No"/>
    <s v="No"/>
    <n v="3.1"/>
    <x v="0"/>
    <n v="8"/>
    <s v="August"/>
  </r>
  <r>
    <s v="C0220"/>
    <s v="Vikram Rao"/>
    <n v="52"/>
    <x v="0"/>
    <x v="2"/>
    <s v="Tamil Nadu"/>
    <s v="Mahindra"/>
    <x v="1"/>
    <x v="1"/>
    <x v="0"/>
    <s v="Manual"/>
    <d v="2025-08-26T00:00:00"/>
    <d v="2025-10-10T00:00:00"/>
    <n v="1727605"/>
    <n v="41937"/>
    <n v="1685668"/>
    <x v="0"/>
    <x v="0"/>
    <s v="Yes"/>
    <s v="No"/>
    <n v="4.8"/>
    <x v="0"/>
    <n v="10"/>
    <s v="October"/>
  </r>
  <r>
    <s v="C0221"/>
    <s v="Karthik S"/>
    <n v="48"/>
    <x v="1"/>
    <x v="0"/>
    <s v="Telangana"/>
    <s v="Mahindra"/>
    <x v="1"/>
    <x v="0"/>
    <x v="0"/>
    <s v="Manual"/>
    <d v="2025-06-30T00:00:00"/>
    <d v="2025-07-29T00:00:00"/>
    <n v="1545308"/>
    <n v="69442"/>
    <n v="1475866"/>
    <x v="2"/>
    <x v="4"/>
    <s v="Yes"/>
    <s v="No"/>
    <n v="5"/>
    <x v="0"/>
    <n v="7"/>
    <s v="July"/>
  </r>
  <r>
    <s v="C0222"/>
    <s v="Meera Iyer"/>
    <n v="28"/>
    <x v="0"/>
    <x v="4"/>
    <s v="Karnataka"/>
    <s v="Mahindra"/>
    <x v="1"/>
    <x v="3"/>
    <x v="0"/>
    <s v="Manual"/>
    <d v="2025-10-25T00:00:00"/>
    <d v="2025-11-12T00:00:00"/>
    <n v="1423239"/>
    <n v="58312"/>
    <n v="1364927"/>
    <x v="3"/>
    <x v="2"/>
    <s v="No"/>
    <s v="No"/>
    <n v="4.2"/>
    <x v="1"/>
    <n v="11"/>
    <s v="November"/>
  </r>
  <r>
    <s v="C0223"/>
    <s v="Anjali Verma"/>
    <n v="40"/>
    <x v="1"/>
    <x v="3"/>
    <s v="Maharashtra"/>
    <s v="Mahindra"/>
    <x v="1"/>
    <x v="1"/>
    <x v="0"/>
    <s v="Automatic"/>
    <d v="2025-12-08T00:00:00"/>
    <d v="2026-01-21T00:00:00"/>
    <n v="1311992"/>
    <n v="37021"/>
    <n v="1274971"/>
    <x v="3"/>
    <x v="2"/>
    <s v="No"/>
    <s v="No"/>
    <n v="3.8"/>
    <x v="0"/>
    <n v="1"/>
    <s v="January"/>
  </r>
  <r>
    <s v="C0224"/>
    <s v="Priya Nair"/>
    <n v="40"/>
    <x v="0"/>
    <x v="1"/>
    <s v="Tamil Nadu"/>
    <s v="Mahindra"/>
    <x v="1"/>
    <x v="3"/>
    <x v="1"/>
    <s v="Manual"/>
    <d v="2026-03-11T00:00:00"/>
    <d v="2026-04-17T00:00:00"/>
    <n v="1368459"/>
    <n v="93115"/>
    <n v="1275344"/>
    <x v="3"/>
    <x v="1"/>
    <s v="Yes"/>
    <s v="Yes"/>
    <n v="3.8"/>
    <x v="0"/>
    <n v="4"/>
    <s v="April"/>
  </r>
  <r>
    <s v="C0225"/>
    <s v="Karthik S"/>
    <n v="36"/>
    <x v="1"/>
    <x v="2"/>
    <s v="Tamil Nadu"/>
    <s v="Mahindra"/>
    <x v="0"/>
    <x v="1"/>
    <x v="0"/>
    <s v="Automatic"/>
    <d v="2025-12-15T00:00:00"/>
    <d v="2026-01-16T00:00:00"/>
    <n v="1723343"/>
    <n v="17301"/>
    <n v="1706042"/>
    <x v="2"/>
    <x v="4"/>
    <s v="Yes"/>
    <s v="Yes"/>
    <n v="3"/>
    <x v="0"/>
    <n v="1"/>
    <s v="January"/>
  </r>
  <r>
    <s v="C0226"/>
    <s v="Rohit Singh"/>
    <n v="55"/>
    <x v="1"/>
    <x v="2"/>
    <s v="Tamil Nadu"/>
    <s v="Mahindra"/>
    <x v="0"/>
    <x v="2"/>
    <x v="0"/>
    <s v="Automatic"/>
    <d v="2025-10-03T00:00:00"/>
    <d v="2025-11-15T00:00:00"/>
    <n v="1664133"/>
    <n v="44061"/>
    <n v="1620072"/>
    <x v="3"/>
    <x v="3"/>
    <s v="No"/>
    <s v="Yes"/>
    <n v="3.5"/>
    <x v="0"/>
    <n v="11"/>
    <s v="November"/>
  </r>
  <r>
    <s v="C0227"/>
    <s v="Sneha Patel"/>
    <n v="36"/>
    <x v="0"/>
    <x v="5"/>
    <s v="Tamil Nadu"/>
    <s v="Mahindra"/>
    <x v="0"/>
    <x v="1"/>
    <x v="1"/>
    <s v="Manual"/>
    <d v="2025-02-27T00:00:00"/>
    <d v="2025-03-14T00:00:00"/>
    <n v="1415243"/>
    <n v="18780"/>
    <n v="1396463"/>
    <x v="2"/>
    <x v="4"/>
    <s v="Yes"/>
    <s v="No"/>
    <n v="4.4000000000000004"/>
    <x v="1"/>
    <n v="3"/>
    <s v="March"/>
  </r>
  <r>
    <s v="C0228"/>
    <s v="Anjali Verma"/>
    <n v="39"/>
    <x v="0"/>
    <x v="4"/>
    <s v="Karnataka"/>
    <s v="Mahindra"/>
    <x v="1"/>
    <x v="3"/>
    <x v="0"/>
    <s v="Manual"/>
    <d v="2026-04-09T00:00:00"/>
    <d v="2026-05-23T00:00:00"/>
    <n v="1692773"/>
    <n v="72286"/>
    <n v="1620487"/>
    <x v="4"/>
    <x v="3"/>
    <s v="Yes"/>
    <s v="No"/>
    <n v="4.0999999999999996"/>
    <x v="0"/>
    <n v="5"/>
    <s v="May"/>
  </r>
  <r>
    <s v="C0229"/>
    <s v="Vikram Rao"/>
    <n v="44"/>
    <x v="0"/>
    <x v="2"/>
    <s v="Tamil Nadu"/>
    <s v="Mahindra"/>
    <x v="1"/>
    <x v="2"/>
    <x v="0"/>
    <s v="Manual"/>
    <d v="2025-10-27T00:00:00"/>
    <d v="2025-11-25T00:00:00"/>
    <n v="1873749"/>
    <n v="55498"/>
    <n v="1818251"/>
    <x v="4"/>
    <x v="0"/>
    <s v="Yes"/>
    <s v="Yes"/>
    <n v="4.5999999999999996"/>
    <x v="0"/>
    <n v="11"/>
    <s v="November"/>
  </r>
  <r>
    <s v="C0230"/>
    <s v="Karthik S"/>
    <n v="56"/>
    <x v="0"/>
    <x v="0"/>
    <s v="Telangana"/>
    <s v="Mahindra"/>
    <x v="1"/>
    <x v="1"/>
    <x v="0"/>
    <s v="Manual"/>
    <d v="2026-01-28T00:00:00"/>
    <d v="2026-02-23T00:00:00"/>
    <n v="1848960"/>
    <n v="28859"/>
    <n v="1820101"/>
    <x v="1"/>
    <x v="2"/>
    <s v="Yes"/>
    <s v="No"/>
    <n v="4.3"/>
    <x v="0"/>
    <n v="2"/>
    <s v="February"/>
  </r>
  <r>
    <s v="C0231"/>
    <s v="Rohit Singh"/>
    <n v="37"/>
    <x v="0"/>
    <x v="2"/>
    <s v="Tamil Nadu"/>
    <s v="Mahindra"/>
    <x v="0"/>
    <x v="3"/>
    <x v="1"/>
    <s v="Automatic"/>
    <d v="2026-04-10T00:00:00"/>
    <d v="2026-05-22T00:00:00"/>
    <n v="1859945"/>
    <n v="30779"/>
    <n v="1829166"/>
    <x v="0"/>
    <x v="3"/>
    <s v="Yes"/>
    <s v="Yes"/>
    <n v="3.3"/>
    <x v="0"/>
    <n v="5"/>
    <s v="May"/>
  </r>
  <r>
    <s v="C0232"/>
    <s v="Rohit Singh"/>
    <n v="25"/>
    <x v="0"/>
    <x v="1"/>
    <s v="Tamil Nadu"/>
    <s v="Mahindra"/>
    <x v="0"/>
    <x v="2"/>
    <x v="0"/>
    <s v="Manual"/>
    <d v="2025-06-17T00:00:00"/>
    <d v="2025-08-01T00:00:00"/>
    <n v="1300775"/>
    <n v="94471"/>
    <n v="1206304"/>
    <x v="4"/>
    <x v="0"/>
    <s v="Yes"/>
    <s v="No"/>
    <n v="4.0999999999999996"/>
    <x v="0"/>
    <n v="8"/>
    <s v="August"/>
  </r>
  <r>
    <s v="C0233"/>
    <s v="Rohit Singh"/>
    <n v="41"/>
    <x v="1"/>
    <x v="1"/>
    <s v="Tamil Nadu"/>
    <s v="Mahindra"/>
    <x v="1"/>
    <x v="0"/>
    <x v="0"/>
    <s v="Automatic"/>
    <d v="2026-04-02T00:00:00"/>
    <d v="2026-04-15T00:00:00"/>
    <n v="1311312"/>
    <n v="19793"/>
    <n v="1291519"/>
    <x v="2"/>
    <x v="4"/>
    <s v="Yes"/>
    <s v="Yes"/>
    <n v="3.9"/>
    <x v="1"/>
    <n v="4"/>
    <s v="April"/>
  </r>
  <r>
    <s v="C0234"/>
    <s v="Anjali Verma"/>
    <n v="27"/>
    <x v="1"/>
    <x v="0"/>
    <s v="Telangana"/>
    <s v="Mahindra"/>
    <x v="0"/>
    <x v="2"/>
    <x v="0"/>
    <s v="Manual"/>
    <d v="2026-04-30T00:00:00"/>
    <d v="2026-05-30T00:00:00"/>
    <n v="1694818"/>
    <n v="22823"/>
    <n v="1671995"/>
    <x v="2"/>
    <x v="1"/>
    <s v="Yes"/>
    <s v="No"/>
    <n v="3.1"/>
    <x v="0"/>
    <n v="5"/>
    <s v="May"/>
  </r>
  <r>
    <s v="C0235"/>
    <s v="Priya Nair"/>
    <n v="33"/>
    <x v="0"/>
    <x v="5"/>
    <s v="Tamil Nadu"/>
    <s v="Mahindra"/>
    <x v="1"/>
    <x v="1"/>
    <x v="1"/>
    <s v="Manual"/>
    <d v="2025-05-08T00:00:00"/>
    <d v="2025-05-25T00:00:00"/>
    <n v="1408106"/>
    <n v="86546"/>
    <n v="1321560"/>
    <x v="2"/>
    <x v="0"/>
    <s v="No"/>
    <s v="Yes"/>
    <n v="4.5"/>
    <x v="1"/>
    <n v="5"/>
    <s v="May"/>
  </r>
  <r>
    <s v="C0236"/>
    <s v="Rohit Singh"/>
    <n v="40"/>
    <x v="0"/>
    <x v="1"/>
    <s v="Tamil Nadu"/>
    <s v="Mahindra"/>
    <x v="1"/>
    <x v="1"/>
    <x v="1"/>
    <s v="Automatic"/>
    <d v="2026-03-30T00:00:00"/>
    <d v="2026-05-06T00:00:00"/>
    <n v="1390539"/>
    <n v="29272"/>
    <n v="1361267"/>
    <x v="3"/>
    <x v="1"/>
    <s v="Yes"/>
    <s v="No"/>
    <n v="4.5999999999999996"/>
    <x v="0"/>
    <n v="5"/>
    <s v="May"/>
  </r>
  <r>
    <s v="C0237"/>
    <s v="Priya Nair"/>
    <n v="53"/>
    <x v="0"/>
    <x v="1"/>
    <s v="Tamil Nadu"/>
    <s v="Mahindra"/>
    <x v="2"/>
    <x v="1"/>
    <x v="1"/>
    <s v="Manual"/>
    <d v="2025-11-24T00:00:00"/>
    <d v="2025-12-10T00:00:00"/>
    <n v="1614533"/>
    <n v="76771"/>
    <n v="1537762"/>
    <x v="1"/>
    <x v="1"/>
    <s v="No"/>
    <s v="Yes"/>
    <n v="3.1"/>
    <x v="1"/>
    <n v="12"/>
    <s v="December"/>
  </r>
  <r>
    <s v="C0238"/>
    <s v="Vikram Rao"/>
    <n v="45"/>
    <x v="0"/>
    <x v="4"/>
    <s v="Karnataka"/>
    <s v="Mahindra"/>
    <x v="0"/>
    <x v="4"/>
    <x v="1"/>
    <s v="Manual"/>
    <d v="2025-10-06T00:00:00"/>
    <d v="2025-10-15T00:00:00"/>
    <n v="1460177"/>
    <n v="79006"/>
    <n v="1381171"/>
    <x v="4"/>
    <x v="1"/>
    <s v="Yes"/>
    <s v="Yes"/>
    <n v="3.7"/>
    <x v="2"/>
    <n v="10"/>
    <s v="October"/>
  </r>
  <r>
    <s v="C0239"/>
    <s v="Sneha Patel"/>
    <n v="31"/>
    <x v="0"/>
    <x v="3"/>
    <s v="Maharashtra"/>
    <s v="Mahindra"/>
    <x v="1"/>
    <x v="0"/>
    <x v="0"/>
    <s v="Manual"/>
    <d v="2026-02-28T00:00:00"/>
    <d v="2026-03-24T00:00:00"/>
    <n v="1834950"/>
    <n v="17065"/>
    <n v="1817885"/>
    <x v="0"/>
    <x v="0"/>
    <s v="Yes"/>
    <s v="Yes"/>
    <n v="4.0999999999999996"/>
    <x v="0"/>
    <n v="3"/>
    <s v="March"/>
  </r>
  <r>
    <s v="C0240"/>
    <s v="Vikram Rao"/>
    <n v="29"/>
    <x v="0"/>
    <x v="2"/>
    <s v="Tamil Nadu"/>
    <s v="Mahindra"/>
    <x v="0"/>
    <x v="4"/>
    <x v="1"/>
    <s v="Manual"/>
    <d v="2025-05-20T00:00:00"/>
    <d v="2025-06-19T00:00:00"/>
    <n v="1689568"/>
    <n v="95497"/>
    <n v="1594071"/>
    <x v="2"/>
    <x v="2"/>
    <s v="Yes"/>
    <s v="No"/>
    <n v="3.5"/>
    <x v="0"/>
    <n v="6"/>
    <s v="June"/>
  </r>
  <r>
    <s v="C0241"/>
    <s v="Priya Nair"/>
    <n v="36"/>
    <x v="0"/>
    <x v="0"/>
    <s v="Telangana"/>
    <s v="Mahindra"/>
    <x v="2"/>
    <x v="0"/>
    <x v="1"/>
    <s v="Automatic"/>
    <d v="2025-04-09T00:00:00"/>
    <d v="2025-04-26T00:00:00"/>
    <n v="1415248"/>
    <n v="76731"/>
    <n v="1338517"/>
    <x v="4"/>
    <x v="1"/>
    <s v="No"/>
    <s v="No"/>
    <n v="3.3"/>
    <x v="1"/>
    <n v="4"/>
    <s v="April"/>
  </r>
  <r>
    <s v="C0242"/>
    <s v="Arjun Kumar"/>
    <n v="59"/>
    <x v="1"/>
    <x v="3"/>
    <s v="Maharashtra"/>
    <s v="Mahindra"/>
    <x v="1"/>
    <x v="4"/>
    <x v="0"/>
    <s v="Automatic"/>
    <d v="2025-04-09T00:00:00"/>
    <d v="2025-05-23T00:00:00"/>
    <n v="1462089"/>
    <n v="81284"/>
    <n v="1380805"/>
    <x v="0"/>
    <x v="1"/>
    <s v="No"/>
    <s v="No"/>
    <n v="3.8"/>
    <x v="0"/>
    <n v="5"/>
    <s v="May"/>
  </r>
  <r>
    <s v="C0243"/>
    <s v="Sneha Patel"/>
    <n v="39"/>
    <x v="1"/>
    <x v="5"/>
    <s v="Tamil Nadu"/>
    <s v="Mahindra"/>
    <x v="0"/>
    <x v="0"/>
    <x v="1"/>
    <s v="Automatic"/>
    <d v="2026-05-29T00:00:00"/>
    <d v="2026-06-11T00:00:00"/>
    <n v="1783935"/>
    <n v="19332"/>
    <n v="1764603"/>
    <x v="0"/>
    <x v="0"/>
    <s v="No"/>
    <s v="No"/>
    <n v="4.4000000000000004"/>
    <x v="1"/>
    <n v="6"/>
    <s v="June"/>
  </r>
  <r>
    <s v="C0244"/>
    <s v="Sneha Patel"/>
    <n v="53"/>
    <x v="1"/>
    <x v="3"/>
    <s v="Maharashtra"/>
    <s v="Mahindra"/>
    <x v="1"/>
    <x v="3"/>
    <x v="1"/>
    <s v="Manual"/>
    <d v="2026-06-14T00:00:00"/>
    <d v="2026-06-28T00:00:00"/>
    <n v="1479568"/>
    <n v="41161"/>
    <n v="1438407"/>
    <x v="2"/>
    <x v="3"/>
    <s v="Yes"/>
    <s v="Yes"/>
    <n v="4"/>
    <x v="1"/>
    <n v="6"/>
    <s v="June"/>
  </r>
  <r>
    <s v="C0245"/>
    <s v="Vikram Rao"/>
    <n v="56"/>
    <x v="1"/>
    <x v="2"/>
    <s v="Tamil Nadu"/>
    <s v="Mahindra"/>
    <x v="0"/>
    <x v="3"/>
    <x v="1"/>
    <s v="Manual"/>
    <d v="2026-03-19T00:00:00"/>
    <d v="2026-04-05T00:00:00"/>
    <n v="1471093"/>
    <n v="78585"/>
    <n v="1392508"/>
    <x v="0"/>
    <x v="0"/>
    <s v="No"/>
    <s v="No"/>
    <n v="4.9000000000000004"/>
    <x v="1"/>
    <n v="4"/>
    <s v="April"/>
  </r>
  <r>
    <s v="C0246"/>
    <s v="Meera Iyer"/>
    <n v="33"/>
    <x v="0"/>
    <x v="2"/>
    <s v="Tamil Nadu"/>
    <s v="Mahindra"/>
    <x v="2"/>
    <x v="1"/>
    <x v="0"/>
    <s v="Automatic"/>
    <d v="2025-10-15T00:00:00"/>
    <d v="2025-10-27T00:00:00"/>
    <n v="1549239"/>
    <n v="18554"/>
    <n v="1530685"/>
    <x v="1"/>
    <x v="3"/>
    <s v="No"/>
    <s v="Yes"/>
    <n v="3.4"/>
    <x v="1"/>
    <n v="10"/>
    <s v="October"/>
  </r>
  <r>
    <s v="C0247"/>
    <s v="Priya Nair"/>
    <n v="53"/>
    <x v="0"/>
    <x v="0"/>
    <s v="Telangana"/>
    <s v="Mahindra"/>
    <x v="0"/>
    <x v="2"/>
    <x v="1"/>
    <s v="Automatic"/>
    <d v="2026-04-25T00:00:00"/>
    <d v="2026-05-23T00:00:00"/>
    <n v="1503073"/>
    <n v="45101"/>
    <n v="1457972"/>
    <x v="2"/>
    <x v="2"/>
    <s v="No"/>
    <s v="No"/>
    <n v="4.5999999999999996"/>
    <x v="0"/>
    <n v="5"/>
    <s v="May"/>
  </r>
  <r>
    <s v="C0248"/>
    <s v="Meera Iyer"/>
    <n v="55"/>
    <x v="1"/>
    <x v="3"/>
    <s v="Maharashtra"/>
    <s v="Mahindra"/>
    <x v="0"/>
    <x v="0"/>
    <x v="1"/>
    <s v="Automatic"/>
    <d v="2025-02-21T00:00:00"/>
    <d v="2025-04-06T00:00:00"/>
    <n v="1605047"/>
    <n v="29090"/>
    <n v="1575957"/>
    <x v="2"/>
    <x v="3"/>
    <s v="No"/>
    <s v="Yes"/>
    <n v="5"/>
    <x v="0"/>
    <n v="4"/>
    <s v="April"/>
  </r>
  <r>
    <s v="C0249"/>
    <s v="Meera Iyer"/>
    <n v="54"/>
    <x v="1"/>
    <x v="3"/>
    <s v="Maharashtra"/>
    <s v="Mahindra"/>
    <x v="0"/>
    <x v="4"/>
    <x v="0"/>
    <s v="Automatic"/>
    <d v="2025-06-18T00:00:00"/>
    <d v="2025-07-15T00:00:00"/>
    <n v="1587781"/>
    <n v="51401"/>
    <n v="1536380"/>
    <x v="2"/>
    <x v="2"/>
    <s v="Yes"/>
    <s v="Yes"/>
    <n v="3.6"/>
    <x v="0"/>
    <n v="7"/>
    <s v="July"/>
  </r>
  <r>
    <s v="C0250"/>
    <s v="Anjali Verma"/>
    <n v="31"/>
    <x v="0"/>
    <x v="1"/>
    <s v="Tamil Nadu"/>
    <s v="Mahindra"/>
    <x v="0"/>
    <x v="0"/>
    <x v="0"/>
    <s v="Automatic"/>
    <d v="2025-08-12T00:00:00"/>
    <d v="2025-08-19T00:00:00"/>
    <n v="1563383"/>
    <n v="58549"/>
    <n v="1504834"/>
    <x v="0"/>
    <x v="4"/>
    <s v="Yes"/>
    <s v="No"/>
    <n v="4.5999999999999996"/>
    <x v="2"/>
    <n v="8"/>
    <s v="August"/>
  </r>
  <r>
    <s v="C0251"/>
    <s v="Meera Iyer"/>
    <n v="21"/>
    <x v="1"/>
    <x v="4"/>
    <s v="Karnataka"/>
    <s v="Mahindra"/>
    <x v="0"/>
    <x v="2"/>
    <x v="1"/>
    <s v="Automatic"/>
    <d v="2025-12-13T00:00:00"/>
    <d v="2025-12-25T00:00:00"/>
    <n v="1400935"/>
    <n v="72075"/>
    <n v="1328860"/>
    <x v="1"/>
    <x v="2"/>
    <s v="Yes"/>
    <s v="Yes"/>
    <n v="4.8"/>
    <x v="1"/>
    <n v="12"/>
    <s v="December"/>
  </r>
  <r>
    <s v="C0252"/>
    <s v="Vikram Rao"/>
    <n v="49"/>
    <x v="1"/>
    <x v="0"/>
    <s v="Telangana"/>
    <s v="Mahindra"/>
    <x v="0"/>
    <x v="4"/>
    <x v="1"/>
    <s v="Manual"/>
    <d v="2025-12-27T00:00:00"/>
    <d v="2026-01-13T00:00:00"/>
    <n v="1719367"/>
    <n v="31870"/>
    <n v="1687497"/>
    <x v="3"/>
    <x v="4"/>
    <s v="No"/>
    <s v="Yes"/>
    <n v="4.0999999999999996"/>
    <x v="1"/>
    <n v="1"/>
    <s v="January"/>
  </r>
  <r>
    <s v="C0253"/>
    <s v="Rahul Sharma"/>
    <n v="35"/>
    <x v="0"/>
    <x v="5"/>
    <s v="Tamil Nadu"/>
    <s v="Mahindra"/>
    <x v="1"/>
    <x v="0"/>
    <x v="0"/>
    <s v="Manual"/>
    <d v="2026-05-04T00:00:00"/>
    <d v="2026-06-07T00:00:00"/>
    <n v="1652841"/>
    <n v="84841"/>
    <n v="1568000"/>
    <x v="0"/>
    <x v="3"/>
    <s v="Yes"/>
    <s v="No"/>
    <n v="4"/>
    <x v="0"/>
    <n v="6"/>
    <s v="June"/>
  </r>
  <r>
    <s v="C0254"/>
    <s v="Arjun Kumar"/>
    <n v="60"/>
    <x v="1"/>
    <x v="4"/>
    <s v="Karnataka"/>
    <s v="Mahindra"/>
    <x v="1"/>
    <x v="4"/>
    <x v="0"/>
    <s v="Manual"/>
    <d v="2025-02-01T00:00:00"/>
    <d v="2025-02-25T00:00:00"/>
    <n v="1617232"/>
    <n v="17606"/>
    <n v="1599626"/>
    <x v="2"/>
    <x v="2"/>
    <s v="No"/>
    <s v="No"/>
    <n v="3.8"/>
    <x v="0"/>
    <n v="2"/>
    <s v="February"/>
  </r>
  <r>
    <s v="C0255"/>
    <s v="Karthik S"/>
    <n v="52"/>
    <x v="1"/>
    <x v="0"/>
    <s v="Telangana"/>
    <s v="Mahindra"/>
    <x v="0"/>
    <x v="2"/>
    <x v="1"/>
    <s v="Automatic"/>
    <d v="2025-06-15T00:00:00"/>
    <d v="2025-07-22T00:00:00"/>
    <n v="1342514"/>
    <n v="51881"/>
    <n v="1290633"/>
    <x v="3"/>
    <x v="2"/>
    <s v="No"/>
    <s v="Yes"/>
    <n v="4"/>
    <x v="0"/>
    <n v="7"/>
    <s v="July"/>
  </r>
  <r>
    <s v="C0256"/>
    <s v="Priya Nair"/>
    <n v="40"/>
    <x v="0"/>
    <x v="1"/>
    <s v="Tamil Nadu"/>
    <s v="Mahindra"/>
    <x v="1"/>
    <x v="2"/>
    <x v="1"/>
    <s v="Automatic"/>
    <d v="2025-06-10T00:00:00"/>
    <d v="2025-06-29T00:00:00"/>
    <n v="1339817"/>
    <n v="47531"/>
    <n v="1292286"/>
    <x v="3"/>
    <x v="4"/>
    <s v="No"/>
    <s v="Yes"/>
    <n v="4.7"/>
    <x v="1"/>
    <n v="6"/>
    <s v="June"/>
  </r>
  <r>
    <s v="C0257"/>
    <s v="Priya Nair"/>
    <n v="40"/>
    <x v="1"/>
    <x v="5"/>
    <s v="Tamil Nadu"/>
    <s v="Mahindra"/>
    <x v="1"/>
    <x v="3"/>
    <x v="0"/>
    <s v="Manual"/>
    <d v="2026-01-19T00:00:00"/>
    <d v="2026-01-31T00:00:00"/>
    <n v="1396613"/>
    <n v="25574"/>
    <n v="1371039"/>
    <x v="0"/>
    <x v="2"/>
    <s v="Yes"/>
    <s v="No"/>
    <n v="4.7"/>
    <x v="1"/>
    <n v="1"/>
    <s v="January"/>
  </r>
  <r>
    <s v="C0258"/>
    <s v="Rahul Sharma"/>
    <n v="30"/>
    <x v="0"/>
    <x v="5"/>
    <s v="Tamil Nadu"/>
    <s v="Mahindra"/>
    <x v="0"/>
    <x v="1"/>
    <x v="0"/>
    <s v="Manual"/>
    <d v="2025-01-04T00:00:00"/>
    <d v="2025-02-13T00:00:00"/>
    <n v="1577329"/>
    <n v="45629"/>
    <n v="1531700"/>
    <x v="4"/>
    <x v="1"/>
    <s v="No"/>
    <s v="No"/>
    <n v="3.9"/>
    <x v="0"/>
    <n v="2"/>
    <s v="February"/>
  </r>
  <r>
    <s v="C0259"/>
    <s v="Anjali Verma"/>
    <n v="56"/>
    <x v="1"/>
    <x v="0"/>
    <s v="Telangana"/>
    <s v="Mahindra"/>
    <x v="0"/>
    <x v="4"/>
    <x v="0"/>
    <s v="Manual"/>
    <d v="2026-05-06T00:00:00"/>
    <d v="2026-06-12T00:00:00"/>
    <n v="1567134"/>
    <n v="63614"/>
    <n v="1503520"/>
    <x v="4"/>
    <x v="4"/>
    <s v="No"/>
    <s v="No"/>
    <n v="3.9"/>
    <x v="0"/>
    <n v="6"/>
    <s v="June"/>
  </r>
  <r>
    <s v="C0260"/>
    <s v="Meera Iyer"/>
    <n v="30"/>
    <x v="0"/>
    <x v="0"/>
    <s v="Telangana"/>
    <s v="Mahindra"/>
    <x v="1"/>
    <x v="2"/>
    <x v="1"/>
    <s v="Automatic"/>
    <d v="2025-03-17T00:00:00"/>
    <d v="2025-04-26T00:00:00"/>
    <n v="1872132"/>
    <n v="88879"/>
    <n v="1783253"/>
    <x v="1"/>
    <x v="3"/>
    <s v="No"/>
    <s v="Yes"/>
    <n v="4.3"/>
    <x v="0"/>
    <n v="4"/>
    <s v="April"/>
  </r>
  <r>
    <s v="C0261"/>
    <s v="Meera Iyer"/>
    <n v="34"/>
    <x v="1"/>
    <x v="1"/>
    <s v="Tamil Nadu"/>
    <s v="Mahindra"/>
    <x v="0"/>
    <x v="0"/>
    <x v="1"/>
    <s v="Automatic"/>
    <d v="2025-05-29T00:00:00"/>
    <d v="2025-06-11T00:00:00"/>
    <n v="1834082"/>
    <n v="62185"/>
    <n v="1771897"/>
    <x v="1"/>
    <x v="4"/>
    <s v="No"/>
    <s v="Yes"/>
    <n v="3.6"/>
    <x v="1"/>
    <n v="6"/>
    <s v="June"/>
  </r>
  <r>
    <s v="C0262"/>
    <s v="Pooja Das"/>
    <n v="46"/>
    <x v="0"/>
    <x v="0"/>
    <s v="Telangana"/>
    <s v="Mahindra"/>
    <x v="1"/>
    <x v="1"/>
    <x v="1"/>
    <s v="Automatic"/>
    <d v="2025-04-26T00:00:00"/>
    <d v="2025-05-04T00:00:00"/>
    <n v="1829920"/>
    <n v="43932"/>
    <n v="1785988"/>
    <x v="4"/>
    <x v="4"/>
    <s v="Yes"/>
    <s v="No"/>
    <n v="3.4"/>
    <x v="2"/>
    <n v="5"/>
    <s v="May"/>
  </r>
  <r>
    <s v="C0263"/>
    <s v="Priya Nair"/>
    <n v="59"/>
    <x v="1"/>
    <x v="2"/>
    <s v="Tamil Nadu"/>
    <s v="Mahindra"/>
    <x v="0"/>
    <x v="0"/>
    <x v="1"/>
    <s v="Manual"/>
    <d v="2025-05-14T00:00:00"/>
    <d v="2025-05-24T00:00:00"/>
    <n v="1760245"/>
    <n v="98332"/>
    <n v="1661913"/>
    <x v="3"/>
    <x v="0"/>
    <s v="No"/>
    <s v="No"/>
    <n v="4.0999999999999996"/>
    <x v="2"/>
    <n v="5"/>
    <s v="May"/>
  </r>
  <r>
    <s v="C0264"/>
    <s v="Priya Nair"/>
    <n v="32"/>
    <x v="0"/>
    <x v="0"/>
    <s v="Telangana"/>
    <s v="Mahindra"/>
    <x v="1"/>
    <x v="1"/>
    <x v="1"/>
    <s v="Manual"/>
    <d v="2025-05-30T00:00:00"/>
    <d v="2025-06-10T00:00:00"/>
    <n v="1421288"/>
    <n v="28829"/>
    <n v="1392459"/>
    <x v="1"/>
    <x v="4"/>
    <s v="Yes"/>
    <s v="No"/>
    <n v="3.9"/>
    <x v="1"/>
    <n v="6"/>
    <s v="June"/>
  </r>
  <r>
    <s v="C0265"/>
    <s v="Priya Nair"/>
    <n v="33"/>
    <x v="0"/>
    <x v="3"/>
    <s v="Maharashtra"/>
    <s v="Mahindra"/>
    <x v="0"/>
    <x v="2"/>
    <x v="0"/>
    <s v="Manual"/>
    <d v="2025-07-04T00:00:00"/>
    <d v="2025-07-28T00:00:00"/>
    <n v="1735779"/>
    <n v="95826"/>
    <n v="1639953"/>
    <x v="3"/>
    <x v="3"/>
    <s v="No"/>
    <s v="No"/>
    <n v="4.9000000000000004"/>
    <x v="0"/>
    <n v="7"/>
    <s v="July"/>
  </r>
  <r>
    <s v="C0266"/>
    <s v="Sneha Patel"/>
    <n v="55"/>
    <x v="1"/>
    <x v="3"/>
    <s v="Maharashtra"/>
    <s v="Mahindra"/>
    <x v="1"/>
    <x v="2"/>
    <x v="1"/>
    <s v="Automatic"/>
    <d v="2026-01-17T00:00:00"/>
    <d v="2026-02-20T00:00:00"/>
    <n v="1308644"/>
    <n v="10926"/>
    <n v="1297718"/>
    <x v="4"/>
    <x v="2"/>
    <s v="No"/>
    <s v="Yes"/>
    <n v="4.9000000000000004"/>
    <x v="0"/>
    <n v="2"/>
    <s v="February"/>
  </r>
  <r>
    <s v="C0267"/>
    <s v="Rohit Singh"/>
    <n v="53"/>
    <x v="0"/>
    <x v="2"/>
    <s v="Tamil Nadu"/>
    <s v="Mahindra"/>
    <x v="1"/>
    <x v="1"/>
    <x v="1"/>
    <s v="Manual"/>
    <d v="2025-08-08T00:00:00"/>
    <d v="2025-08-22T00:00:00"/>
    <n v="1339358"/>
    <n v="53110"/>
    <n v="1286248"/>
    <x v="2"/>
    <x v="3"/>
    <s v="Yes"/>
    <s v="No"/>
    <n v="3.2"/>
    <x v="1"/>
    <n v="8"/>
    <s v="August"/>
  </r>
  <r>
    <s v="C0268"/>
    <s v="Arjun Kumar"/>
    <n v="27"/>
    <x v="0"/>
    <x v="4"/>
    <s v="Karnataka"/>
    <s v="Mahindra"/>
    <x v="0"/>
    <x v="2"/>
    <x v="0"/>
    <s v="Manual"/>
    <d v="2026-02-24T00:00:00"/>
    <d v="2026-04-03T00:00:00"/>
    <n v="1821973"/>
    <n v="63745"/>
    <n v="1758228"/>
    <x v="4"/>
    <x v="0"/>
    <s v="No"/>
    <s v="Yes"/>
    <n v="3.4"/>
    <x v="0"/>
    <n v="4"/>
    <s v="April"/>
  </r>
  <r>
    <s v="C0269"/>
    <s v="Sneha Patel"/>
    <n v="40"/>
    <x v="0"/>
    <x v="2"/>
    <s v="Tamil Nadu"/>
    <s v="Mahindra"/>
    <x v="1"/>
    <x v="0"/>
    <x v="1"/>
    <s v="Automatic"/>
    <d v="2025-03-25T00:00:00"/>
    <d v="2025-04-29T00:00:00"/>
    <n v="1509509"/>
    <n v="10701"/>
    <n v="1498808"/>
    <x v="4"/>
    <x v="2"/>
    <s v="No"/>
    <s v="No"/>
    <n v="3.5"/>
    <x v="0"/>
    <n v="4"/>
    <s v="April"/>
  </r>
  <r>
    <s v="C0270"/>
    <s v="Pooja Das"/>
    <n v="56"/>
    <x v="0"/>
    <x v="5"/>
    <s v="Tamil Nadu"/>
    <s v="Mahindra"/>
    <x v="0"/>
    <x v="4"/>
    <x v="1"/>
    <s v="Automatic"/>
    <d v="2026-06-13T00:00:00"/>
    <d v="2026-07-28T00:00:00"/>
    <n v="1849462"/>
    <n v="92984"/>
    <n v="1756478"/>
    <x v="3"/>
    <x v="1"/>
    <s v="Yes"/>
    <s v="Yes"/>
    <n v="4"/>
    <x v="0"/>
    <n v="7"/>
    <s v="July"/>
  </r>
  <r>
    <s v="C0271"/>
    <s v="Priya Nair"/>
    <n v="50"/>
    <x v="1"/>
    <x v="4"/>
    <s v="Karnataka"/>
    <s v="Mahindra"/>
    <x v="1"/>
    <x v="4"/>
    <x v="0"/>
    <s v="Automatic"/>
    <d v="2025-09-01T00:00:00"/>
    <d v="2025-09-18T00:00:00"/>
    <n v="1722005"/>
    <n v="50616"/>
    <n v="1671389"/>
    <x v="3"/>
    <x v="4"/>
    <s v="Yes"/>
    <s v="Yes"/>
    <n v="4.7"/>
    <x v="1"/>
    <n v="9"/>
    <s v="September"/>
  </r>
  <r>
    <s v="C0272"/>
    <s v="Anjali Verma"/>
    <n v="36"/>
    <x v="1"/>
    <x v="1"/>
    <s v="Tamil Nadu"/>
    <s v="Mahindra"/>
    <x v="1"/>
    <x v="1"/>
    <x v="0"/>
    <s v="Automatic"/>
    <d v="2026-05-01T00:00:00"/>
    <d v="2026-06-13T00:00:00"/>
    <n v="1425249"/>
    <n v="18792"/>
    <n v="1406457"/>
    <x v="0"/>
    <x v="3"/>
    <s v="No"/>
    <s v="No"/>
    <n v="3"/>
    <x v="0"/>
    <n v="6"/>
    <s v="June"/>
  </r>
  <r>
    <s v="C0273"/>
    <s v="Rahul Sharma"/>
    <n v="58"/>
    <x v="0"/>
    <x v="2"/>
    <s v="Tamil Nadu"/>
    <s v="Mahindra"/>
    <x v="1"/>
    <x v="4"/>
    <x v="0"/>
    <s v="Automatic"/>
    <d v="2025-07-17T00:00:00"/>
    <d v="2025-07-27T00:00:00"/>
    <n v="1386202"/>
    <n v="11171"/>
    <n v="1375031"/>
    <x v="2"/>
    <x v="3"/>
    <s v="No"/>
    <s v="Yes"/>
    <n v="4.3"/>
    <x v="2"/>
    <n v="7"/>
    <s v="July"/>
  </r>
  <r>
    <s v="C0274"/>
    <s v="Priya Nair"/>
    <n v="24"/>
    <x v="1"/>
    <x v="5"/>
    <s v="Tamil Nadu"/>
    <s v="Mahindra"/>
    <x v="2"/>
    <x v="2"/>
    <x v="1"/>
    <s v="Manual"/>
    <d v="2025-05-20T00:00:00"/>
    <d v="2025-06-28T00:00:00"/>
    <n v="1509503"/>
    <n v="86008"/>
    <n v="1423495"/>
    <x v="3"/>
    <x v="1"/>
    <s v="No"/>
    <s v="Yes"/>
    <n v="5"/>
    <x v="0"/>
    <n v="6"/>
    <s v="June"/>
  </r>
  <r>
    <s v="C0275"/>
    <s v="Anjali Verma"/>
    <n v="48"/>
    <x v="1"/>
    <x v="2"/>
    <s v="Tamil Nadu"/>
    <s v="Mahindra"/>
    <x v="2"/>
    <x v="4"/>
    <x v="1"/>
    <s v="Manual"/>
    <d v="2025-10-07T00:00:00"/>
    <d v="2025-10-20T00:00:00"/>
    <n v="1415611"/>
    <n v="28965"/>
    <n v="1386646"/>
    <x v="2"/>
    <x v="4"/>
    <s v="Yes"/>
    <s v="No"/>
    <n v="4.4000000000000004"/>
    <x v="1"/>
    <n v="10"/>
    <s v="October"/>
  </r>
  <r>
    <s v="C0276"/>
    <s v="Anjali Verma"/>
    <n v="33"/>
    <x v="1"/>
    <x v="5"/>
    <s v="Tamil Nadu"/>
    <s v="Mahindra"/>
    <x v="1"/>
    <x v="3"/>
    <x v="0"/>
    <s v="Manual"/>
    <d v="2025-09-21T00:00:00"/>
    <d v="2025-11-05T00:00:00"/>
    <n v="1812909"/>
    <n v="48437"/>
    <n v="1764472"/>
    <x v="1"/>
    <x v="1"/>
    <s v="No"/>
    <s v="Yes"/>
    <n v="3.1"/>
    <x v="0"/>
    <n v="11"/>
    <s v="November"/>
  </r>
  <r>
    <s v="C0277"/>
    <s v="Rahul Sharma"/>
    <n v="24"/>
    <x v="0"/>
    <x v="5"/>
    <s v="Tamil Nadu"/>
    <s v="Mahindra"/>
    <x v="1"/>
    <x v="3"/>
    <x v="1"/>
    <s v="Manual"/>
    <d v="2025-09-23T00:00:00"/>
    <d v="2025-10-14T00:00:00"/>
    <n v="1643417"/>
    <n v="75297"/>
    <n v="1568120"/>
    <x v="1"/>
    <x v="3"/>
    <s v="Yes"/>
    <s v="Yes"/>
    <n v="4.9000000000000004"/>
    <x v="0"/>
    <n v="10"/>
    <s v="October"/>
  </r>
  <r>
    <s v="C0278"/>
    <s v="Rahul Sharma"/>
    <n v="33"/>
    <x v="0"/>
    <x v="0"/>
    <s v="Telangana"/>
    <s v="Mahindra"/>
    <x v="1"/>
    <x v="3"/>
    <x v="0"/>
    <s v="Manual"/>
    <d v="2025-02-27T00:00:00"/>
    <d v="2025-03-16T00:00:00"/>
    <n v="1397954"/>
    <n v="68452"/>
    <n v="1329502"/>
    <x v="0"/>
    <x v="0"/>
    <s v="Yes"/>
    <s v="No"/>
    <n v="4.5999999999999996"/>
    <x v="1"/>
    <n v="3"/>
    <s v="March"/>
  </r>
  <r>
    <s v="C0279"/>
    <s v="Priya Nair"/>
    <n v="31"/>
    <x v="0"/>
    <x v="4"/>
    <s v="Karnataka"/>
    <s v="Mahindra"/>
    <x v="0"/>
    <x v="1"/>
    <x v="1"/>
    <s v="Manual"/>
    <d v="2025-12-14T00:00:00"/>
    <d v="2026-01-01T00:00:00"/>
    <n v="1532672"/>
    <n v="51032"/>
    <n v="1481640"/>
    <x v="0"/>
    <x v="1"/>
    <s v="Yes"/>
    <s v="Yes"/>
    <n v="3.4"/>
    <x v="1"/>
    <n v="1"/>
    <s v="January"/>
  </r>
  <r>
    <s v="C0280"/>
    <s v="Arjun Kumar"/>
    <n v="27"/>
    <x v="1"/>
    <x v="2"/>
    <s v="Tamil Nadu"/>
    <s v="Mahindra"/>
    <x v="1"/>
    <x v="2"/>
    <x v="1"/>
    <s v="Manual"/>
    <d v="2025-09-05T00:00:00"/>
    <d v="2025-09-21T00:00:00"/>
    <n v="1467926"/>
    <n v="72515"/>
    <n v="1395411"/>
    <x v="4"/>
    <x v="0"/>
    <s v="Yes"/>
    <s v="No"/>
    <n v="4.8"/>
    <x v="1"/>
    <n v="9"/>
    <s v="September"/>
  </r>
  <r>
    <s v="C0281"/>
    <s v="Arjun Kumar"/>
    <n v="44"/>
    <x v="1"/>
    <x v="0"/>
    <s v="Telangana"/>
    <s v="Mahindra"/>
    <x v="1"/>
    <x v="0"/>
    <x v="0"/>
    <s v="Automatic"/>
    <d v="2025-12-25T00:00:00"/>
    <d v="2026-01-09T00:00:00"/>
    <n v="1452657"/>
    <n v="88211"/>
    <n v="1364446"/>
    <x v="3"/>
    <x v="3"/>
    <s v="No"/>
    <s v="Yes"/>
    <n v="4.2"/>
    <x v="1"/>
    <n v="1"/>
    <s v="January"/>
  </r>
  <r>
    <s v="C0282"/>
    <s v="Pooja Das"/>
    <n v="21"/>
    <x v="1"/>
    <x v="2"/>
    <s v="Tamil Nadu"/>
    <s v="Mahindra"/>
    <x v="0"/>
    <x v="4"/>
    <x v="1"/>
    <s v="Automatic"/>
    <d v="2025-03-23T00:00:00"/>
    <d v="2025-04-08T00:00:00"/>
    <n v="1547195"/>
    <n v="15481"/>
    <n v="1531714"/>
    <x v="0"/>
    <x v="3"/>
    <s v="Yes"/>
    <s v="Yes"/>
    <n v="3.4"/>
    <x v="1"/>
    <n v="4"/>
    <s v="April"/>
  </r>
  <r>
    <s v="C0283"/>
    <s v="Meera Iyer"/>
    <n v="49"/>
    <x v="0"/>
    <x v="3"/>
    <s v="Maharashtra"/>
    <s v="Mahindra"/>
    <x v="1"/>
    <x v="4"/>
    <x v="0"/>
    <s v="Manual"/>
    <d v="2025-02-18T00:00:00"/>
    <d v="2025-02-28T00:00:00"/>
    <n v="1624320"/>
    <n v="41536"/>
    <n v="1582784"/>
    <x v="4"/>
    <x v="3"/>
    <s v="No"/>
    <s v="No"/>
    <n v="3.5"/>
    <x v="2"/>
    <n v="2"/>
    <s v="February"/>
  </r>
  <r>
    <s v="C0284"/>
    <s v="Vikram Rao"/>
    <n v="51"/>
    <x v="0"/>
    <x v="2"/>
    <s v="Tamil Nadu"/>
    <s v="Mahindra"/>
    <x v="0"/>
    <x v="3"/>
    <x v="1"/>
    <s v="Automatic"/>
    <d v="2025-03-11T00:00:00"/>
    <d v="2025-03-23T00:00:00"/>
    <n v="1658699"/>
    <n v="35149"/>
    <n v="1623550"/>
    <x v="1"/>
    <x v="1"/>
    <s v="Yes"/>
    <s v="No"/>
    <n v="3.3"/>
    <x v="1"/>
    <n v="3"/>
    <s v="March"/>
  </r>
  <r>
    <s v="C0285"/>
    <s v="Rahul Sharma"/>
    <n v="37"/>
    <x v="1"/>
    <x v="0"/>
    <s v="Telangana"/>
    <s v="Mahindra"/>
    <x v="0"/>
    <x v="3"/>
    <x v="1"/>
    <s v="Manual"/>
    <d v="2025-08-08T00:00:00"/>
    <d v="2025-08-27T00:00:00"/>
    <n v="1773732"/>
    <n v="71463"/>
    <n v="1702269"/>
    <x v="3"/>
    <x v="3"/>
    <s v="Yes"/>
    <s v="No"/>
    <n v="4.9000000000000004"/>
    <x v="1"/>
    <n v="8"/>
    <s v="August"/>
  </r>
  <r>
    <s v="C0286"/>
    <s v="Priya Nair"/>
    <n v="24"/>
    <x v="1"/>
    <x v="0"/>
    <s v="Telangana"/>
    <s v="Mahindra"/>
    <x v="2"/>
    <x v="4"/>
    <x v="1"/>
    <s v="Manual"/>
    <d v="2025-01-27T00:00:00"/>
    <d v="2025-03-07T00:00:00"/>
    <n v="1738982"/>
    <n v="46903"/>
    <n v="1692079"/>
    <x v="2"/>
    <x v="2"/>
    <s v="Yes"/>
    <s v="No"/>
    <n v="3.7"/>
    <x v="0"/>
    <n v="3"/>
    <s v="March"/>
  </r>
  <r>
    <s v="C0287"/>
    <s v="Rohit Singh"/>
    <n v="56"/>
    <x v="0"/>
    <x v="5"/>
    <s v="Tamil Nadu"/>
    <s v="Mahindra"/>
    <x v="0"/>
    <x v="1"/>
    <x v="1"/>
    <s v="Manual"/>
    <d v="2025-05-21T00:00:00"/>
    <d v="2025-06-01T00:00:00"/>
    <n v="1318916"/>
    <n v="89329"/>
    <n v="1229587"/>
    <x v="2"/>
    <x v="3"/>
    <s v="Yes"/>
    <s v="No"/>
    <n v="4.3"/>
    <x v="1"/>
    <n v="6"/>
    <s v="June"/>
  </r>
  <r>
    <s v="C0288"/>
    <s v="Rohit Singh"/>
    <n v="56"/>
    <x v="0"/>
    <x v="4"/>
    <s v="Karnataka"/>
    <s v="Mahindra"/>
    <x v="1"/>
    <x v="1"/>
    <x v="0"/>
    <s v="Automatic"/>
    <d v="2026-01-19T00:00:00"/>
    <d v="2026-01-31T00:00:00"/>
    <n v="1730290"/>
    <n v="69353"/>
    <n v="1660937"/>
    <x v="3"/>
    <x v="0"/>
    <s v="No"/>
    <s v="No"/>
    <n v="3.8"/>
    <x v="1"/>
    <n v="1"/>
    <s v="January"/>
  </r>
  <r>
    <s v="C0289"/>
    <s v="Rahul Sharma"/>
    <n v="39"/>
    <x v="0"/>
    <x v="3"/>
    <s v="Maharashtra"/>
    <s v="Mahindra"/>
    <x v="2"/>
    <x v="2"/>
    <x v="0"/>
    <s v="Manual"/>
    <d v="2025-04-22T00:00:00"/>
    <d v="2025-05-06T00:00:00"/>
    <n v="1889191"/>
    <n v="53654"/>
    <n v="1835537"/>
    <x v="3"/>
    <x v="1"/>
    <s v="Yes"/>
    <s v="No"/>
    <n v="3.1"/>
    <x v="1"/>
    <n v="5"/>
    <s v="May"/>
  </r>
  <r>
    <s v="C0290"/>
    <s v="Vikram Rao"/>
    <n v="30"/>
    <x v="1"/>
    <x v="0"/>
    <s v="Telangana"/>
    <s v="Mahindra"/>
    <x v="1"/>
    <x v="3"/>
    <x v="0"/>
    <s v="Manual"/>
    <d v="2025-02-19T00:00:00"/>
    <d v="2025-03-05T00:00:00"/>
    <n v="1393865"/>
    <n v="60106"/>
    <n v="1333759"/>
    <x v="0"/>
    <x v="1"/>
    <s v="No"/>
    <s v="Yes"/>
    <n v="3.3"/>
    <x v="1"/>
    <n v="3"/>
    <s v="March"/>
  </r>
  <r>
    <s v="C0291"/>
    <s v="Arjun Kumar"/>
    <n v="25"/>
    <x v="1"/>
    <x v="3"/>
    <s v="Maharashtra"/>
    <s v="Mahindra"/>
    <x v="2"/>
    <x v="4"/>
    <x v="1"/>
    <s v="Manual"/>
    <d v="2026-06-05T00:00:00"/>
    <d v="2026-06-28T00:00:00"/>
    <n v="1382693"/>
    <n v="78422"/>
    <n v="1304271"/>
    <x v="0"/>
    <x v="2"/>
    <s v="Yes"/>
    <s v="No"/>
    <n v="4.5999999999999996"/>
    <x v="0"/>
    <n v="6"/>
    <s v="June"/>
  </r>
  <r>
    <s v="C0292"/>
    <s v="Meera Iyer"/>
    <n v="59"/>
    <x v="1"/>
    <x v="0"/>
    <s v="Telangana"/>
    <s v="Mahindra"/>
    <x v="1"/>
    <x v="1"/>
    <x v="0"/>
    <s v="Manual"/>
    <d v="2026-01-17T00:00:00"/>
    <d v="2026-01-24T00:00:00"/>
    <n v="1768336"/>
    <n v="30371"/>
    <n v="1737965"/>
    <x v="3"/>
    <x v="4"/>
    <s v="No"/>
    <s v="Yes"/>
    <n v="4.4000000000000004"/>
    <x v="2"/>
    <n v="1"/>
    <s v="January"/>
  </r>
  <r>
    <s v="C0293"/>
    <s v="Karthik S"/>
    <n v="27"/>
    <x v="1"/>
    <x v="2"/>
    <s v="Tamil Nadu"/>
    <s v="Mahindra"/>
    <x v="0"/>
    <x v="1"/>
    <x v="1"/>
    <s v="Manual"/>
    <d v="2025-11-04T00:00:00"/>
    <d v="2025-11-11T00:00:00"/>
    <n v="1746885"/>
    <n v="64487"/>
    <n v="1682398"/>
    <x v="3"/>
    <x v="4"/>
    <s v="Yes"/>
    <s v="Yes"/>
    <n v="3.7"/>
    <x v="2"/>
    <n v="11"/>
    <s v="November"/>
  </r>
  <r>
    <s v="C0294"/>
    <s v="Priya Nair"/>
    <n v="42"/>
    <x v="1"/>
    <x v="4"/>
    <s v="Karnataka"/>
    <s v="Mahindra"/>
    <x v="2"/>
    <x v="0"/>
    <x v="1"/>
    <s v="Automatic"/>
    <d v="2025-03-05T00:00:00"/>
    <d v="2025-04-16T00:00:00"/>
    <n v="1452004"/>
    <n v="34499"/>
    <n v="1417505"/>
    <x v="0"/>
    <x v="0"/>
    <s v="Yes"/>
    <s v="No"/>
    <n v="3.1"/>
    <x v="0"/>
    <n v="4"/>
    <s v="April"/>
  </r>
  <r>
    <s v="C0295"/>
    <s v="Arjun Kumar"/>
    <n v="23"/>
    <x v="1"/>
    <x v="1"/>
    <s v="Tamil Nadu"/>
    <s v="Mahindra"/>
    <x v="1"/>
    <x v="4"/>
    <x v="1"/>
    <s v="Automatic"/>
    <d v="2026-02-15T00:00:00"/>
    <d v="2026-02-26T00:00:00"/>
    <n v="1374750"/>
    <n v="69797"/>
    <n v="1304953"/>
    <x v="3"/>
    <x v="3"/>
    <s v="Yes"/>
    <s v="No"/>
    <n v="4.4000000000000004"/>
    <x v="1"/>
    <n v="2"/>
    <s v="February"/>
  </r>
  <r>
    <s v="C0296"/>
    <s v="Rahul Sharma"/>
    <n v="57"/>
    <x v="0"/>
    <x v="2"/>
    <s v="Tamil Nadu"/>
    <s v="Mahindra"/>
    <x v="1"/>
    <x v="1"/>
    <x v="0"/>
    <s v="Manual"/>
    <d v="2025-05-01T00:00:00"/>
    <d v="2025-05-13T00:00:00"/>
    <n v="1450756"/>
    <n v="54482"/>
    <n v="1396274"/>
    <x v="4"/>
    <x v="4"/>
    <s v="No"/>
    <s v="No"/>
    <n v="3.1"/>
    <x v="1"/>
    <n v="5"/>
    <s v="May"/>
  </r>
  <r>
    <s v="C0297"/>
    <s v="Pooja Das"/>
    <n v="31"/>
    <x v="1"/>
    <x v="0"/>
    <s v="Telangana"/>
    <s v="Mahindra"/>
    <x v="1"/>
    <x v="3"/>
    <x v="1"/>
    <s v="Automatic"/>
    <d v="2025-10-29T00:00:00"/>
    <d v="2025-11-08T00:00:00"/>
    <n v="1623041"/>
    <n v="51132"/>
    <n v="1571909"/>
    <x v="4"/>
    <x v="2"/>
    <s v="No"/>
    <s v="Yes"/>
    <n v="4.4000000000000004"/>
    <x v="2"/>
    <n v="11"/>
    <s v="November"/>
  </r>
  <r>
    <s v="C0298"/>
    <s v="Karthik S"/>
    <n v="49"/>
    <x v="0"/>
    <x v="1"/>
    <s v="Tamil Nadu"/>
    <s v="Mahindra"/>
    <x v="0"/>
    <x v="1"/>
    <x v="1"/>
    <s v="Manual"/>
    <d v="2025-03-16T00:00:00"/>
    <d v="2025-04-14T00:00:00"/>
    <n v="1309553"/>
    <n v="59654"/>
    <n v="1249899"/>
    <x v="3"/>
    <x v="4"/>
    <s v="No"/>
    <s v="Yes"/>
    <n v="4.5"/>
    <x v="0"/>
    <n v="4"/>
    <s v="April"/>
  </r>
  <r>
    <s v="C0299"/>
    <s v="Rohit Singh"/>
    <n v="44"/>
    <x v="0"/>
    <x v="1"/>
    <s v="Tamil Nadu"/>
    <s v="Mahindra"/>
    <x v="2"/>
    <x v="2"/>
    <x v="1"/>
    <s v="Manual"/>
    <d v="2026-06-20T00:00:00"/>
    <d v="2026-07-11T00:00:00"/>
    <n v="1598508"/>
    <n v="62073"/>
    <n v="1536435"/>
    <x v="2"/>
    <x v="4"/>
    <s v="No"/>
    <s v="Yes"/>
    <n v="3.6"/>
    <x v="0"/>
    <n v="7"/>
    <s v="July"/>
  </r>
  <r>
    <s v="C0300"/>
    <s v="Priya Nair"/>
    <n v="44"/>
    <x v="0"/>
    <x v="0"/>
    <s v="Telangana"/>
    <s v="Mahindra"/>
    <x v="1"/>
    <x v="3"/>
    <x v="0"/>
    <s v="Manual"/>
    <d v="2025-03-04T00:00:00"/>
    <d v="2025-04-13T00:00:00"/>
    <n v="1678116"/>
    <n v="42797"/>
    <n v="1635319"/>
    <x v="4"/>
    <x v="0"/>
    <s v="Yes"/>
    <s v="Yes"/>
    <n v="3.6"/>
    <x v="0"/>
    <n v="4"/>
    <s v="April"/>
  </r>
  <r>
    <s v="C0301"/>
    <s v="Priya Nair"/>
    <n v="47"/>
    <x v="0"/>
    <x v="4"/>
    <s v="Karnataka"/>
    <s v="Mahindra"/>
    <x v="0"/>
    <x v="0"/>
    <x v="0"/>
    <s v="Automatic"/>
    <d v="2025-07-25T00:00:00"/>
    <d v="2025-08-28T00:00:00"/>
    <n v="1890417"/>
    <n v="17993"/>
    <n v="1872424"/>
    <x v="1"/>
    <x v="0"/>
    <s v="Yes"/>
    <s v="No"/>
    <n v="3.7"/>
    <x v="0"/>
    <n v="8"/>
    <s v="August"/>
  </r>
  <r>
    <s v="C0302"/>
    <s v="Sneha Patel"/>
    <n v="22"/>
    <x v="1"/>
    <x v="4"/>
    <s v="Karnataka"/>
    <s v="Mahindra"/>
    <x v="0"/>
    <x v="1"/>
    <x v="1"/>
    <s v="Manual"/>
    <d v="2025-06-04T00:00:00"/>
    <d v="2025-07-18T00:00:00"/>
    <n v="1578812"/>
    <n v="98388"/>
    <n v="1480424"/>
    <x v="2"/>
    <x v="0"/>
    <s v="No"/>
    <s v="No"/>
    <n v="4"/>
    <x v="0"/>
    <n v="7"/>
    <s v="July"/>
  </r>
  <r>
    <s v="C0303"/>
    <s v="Rohit Singh"/>
    <n v="26"/>
    <x v="0"/>
    <x v="5"/>
    <s v="Tamil Nadu"/>
    <s v="Mahindra"/>
    <x v="0"/>
    <x v="3"/>
    <x v="1"/>
    <s v="Automatic"/>
    <d v="2026-06-09T00:00:00"/>
    <d v="2026-06-23T00:00:00"/>
    <n v="1653943"/>
    <n v="84779"/>
    <n v="1569164"/>
    <x v="2"/>
    <x v="3"/>
    <s v="No"/>
    <s v="No"/>
    <n v="3.7"/>
    <x v="1"/>
    <n v="6"/>
    <s v="June"/>
  </r>
  <r>
    <s v="C0304"/>
    <s v="Pooja Das"/>
    <n v="34"/>
    <x v="1"/>
    <x v="1"/>
    <s v="Tamil Nadu"/>
    <s v="Mahindra"/>
    <x v="0"/>
    <x v="4"/>
    <x v="1"/>
    <s v="Manual"/>
    <d v="2025-05-20T00:00:00"/>
    <d v="2025-06-11T00:00:00"/>
    <n v="1815530"/>
    <n v="51892"/>
    <n v="1763638"/>
    <x v="2"/>
    <x v="0"/>
    <s v="Yes"/>
    <s v="No"/>
    <n v="4.0999999999999996"/>
    <x v="0"/>
    <n v="6"/>
    <s v="June"/>
  </r>
  <r>
    <s v="C0305"/>
    <s v="Priya Nair"/>
    <n v="22"/>
    <x v="1"/>
    <x v="3"/>
    <s v="Maharashtra"/>
    <s v="Mahindra"/>
    <x v="0"/>
    <x v="1"/>
    <x v="0"/>
    <s v="Automatic"/>
    <d v="2025-01-11T00:00:00"/>
    <d v="2025-02-14T00:00:00"/>
    <n v="1463757"/>
    <n v="80030"/>
    <n v="1383727"/>
    <x v="1"/>
    <x v="0"/>
    <s v="Yes"/>
    <s v="No"/>
    <n v="4.5999999999999996"/>
    <x v="0"/>
    <n v="2"/>
    <s v="February"/>
  </r>
  <r>
    <s v="C0306"/>
    <s v="Anjali Verma"/>
    <n v="40"/>
    <x v="1"/>
    <x v="4"/>
    <s v="Karnataka"/>
    <s v="Mahindra"/>
    <x v="2"/>
    <x v="3"/>
    <x v="0"/>
    <s v="Manual"/>
    <d v="2025-03-10T00:00:00"/>
    <d v="2025-03-17T00:00:00"/>
    <n v="1749802"/>
    <n v="99623"/>
    <n v="1650179"/>
    <x v="1"/>
    <x v="1"/>
    <s v="Yes"/>
    <s v="No"/>
    <n v="4.9000000000000004"/>
    <x v="2"/>
    <n v="3"/>
    <s v="March"/>
  </r>
  <r>
    <s v="C0307"/>
    <s v="Vikram Rao"/>
    <n v="31"/>
    <x v="1"/>
    <x v="3"/>
    <s v="Maharashtra"/>
    <s v="Mahindra"/>
    <x v="2"/>
    <x v="4"/>
    <x v="1"/>
    <s v="Manual"/>
    <d v="2025-12-15T00:00:00"/>
    <d v="2026-01-11T00:00:00"/>
    <n v="1453323"/>
    <n v="24645"/>
    <n v="1428678"/>
    <x v="0"/>
    <x v="2"/>
    <s v="No"/>
    <s v="No"/>
    <n v="3.4"/>
    <x v="0"/>
    <n v="1"/>
    <s v="January"/>
  </r>
  <r>
    <s v="C0308"/>
    <s v="Rohit Singh"/>
    <n v="57"/>
    <x v="1"/>
    <x v="5"/>
    <s v="Tamil Nadu"/>
    <s v="Mahindra"/>
    <x v="1"/>
    <x v="0"/>
    <x v="1"/>
    <s v="Automatic"/>
    <d v="2025-07-27T00:00:00"/>
    <d v="2025-08-03T00:00:00"/>
    <n v="1514805"/>
    <n v="29216"/>
    <n v="1485589"/>
    <x v="2"/>
    <x v="0"/>
    <s v="Yes"/>
    <s v="Yes"/>
    <n v="4.0999999999999996"/>
    <x v="2"/>
    <n v="8"/>
    <s v="August"/>
  </r>
  <r>
    <s v="C0309"/>
    <s v="Priya Nair"/>
    <n v="37"/>
    <x v="1"/>
    <x v="4"/>
    <s v="Karnataka"/>
    <s v="Mahindra"/>
    <x v="0"/>
    <x v="4"/>
    <x v="1"/>
    <s v="Automatic"/>
    <d v="2025-02-01T00:00:00"/>
    <d v="2025-02-23T00:00:00"/>
    <n v="1689526"/>
    <n v="46226"/>
    <n v="1643300"/>
    <x v="1"/>
    <x v="4"/>
    <s v="No"/>
    <s v="No"/>
    <n v="3.3"/>
    <x v="0"/>
    <n v="2"/>
    <s v="February"/>
  </r>
  <r>
    <s v="C0310"/>
    <s v="Vikram Rao"/>
    <n v="49"/>
    <x v="1"/>
    <x v="0"/>
    <s v="Telangana"/>
    <s v="Mahindra"/>
    <x v="1"/>
    <x v="4"/>
    <x v="0"/>
    <s v="Manual"/>
    <d v="2026-06-11T00:00:00"/>
    <d v="2026-06-25T00:00:00"/>
    <n v="1891505"/>
    <n v="87560"/>
    <n v="1803945"/>
    <x v="1"/>
    <x v="0"/>
    <s v="Yes"/>
    <s v="No"/>
    <n v="3.4"/>
    <x v="1"/>
    <n v="6"/>
    <s v="June"/>
  </r>
  <r>
    <s v="C0311"/>
    <s v="Rohit Singh"/>
    <n v="49"/>
    <x v="1"/>
    <x v="3"/>
    <s v="Maharashtra"/>
    <s v="Mahindra"/>
    <x v="0"/>
    <x v="1"/>
    <x v="0"/>
    <s v="Manual"/>
    <d v="2025-05-25T00:00:00"/>
    <d v="2025-07-03T00:00:00"/>
    <n v="1680765"/>
    <n v="97662"/>
    <n v="1583103"/>
    <x v="2"/>
    <x v="4"/>
    <s v="Yes"/>
    <s v="No"/>
    <n v="3"/>
    <x v="0"/>
    <n v="7"/>
    <s v="July"/>
  </r>
  <r>
    <s v="C0312"/>
    <s v="Rohit Singh"/>
    <n v="39"/>
    <x v="0"/>
    <x v="2"/>
    <s v="Tamil Nadu"/>
    <s v="Mahindra"/>
    <x v="0"/>
    <x v="1"/>
    <x v="0"/>
    <s v="Manual"/>
    <d v="2026-01-06T00:00:00"/>
    <d v="2026-02-05T00:00:00"/>
    <n v="1548867"/>
    <n v="32371"/>
    <n v="1516496"/>
    <x v="2"/>
    <x v="2"/>
    <s v="No"/>
    <s v="Yes"/>
    <n v="3.3"/>
    <x v="0"/>
    <n v="2"/>
    <s v="February"/>
  </r>
  <r>
    <s v="C0313"/>
    <s v="Pooja Das"/>
    <n v="22"/>
    <x v="0"/>
    <x v="3"/>
    <s v="Maharashtra"/>
    <s v="Mahindra"/>
    <x v="2"/>
    <x v="4"/>
    <x v="0"/>
    <s v="Manual"/>
    <d v="2026-01-19T00:00:00"/>
    <d v="2026-02-18T00:00:00"/>
    <n v="1635874"/>
    <n v="46612"/>
    <n v="1589262"/>
    <x v="0"/>
    <x v="2"/>
    <s v="No"/>
    <s v="No"/>
    <n v="3.4"/>
    <x v="0"/>
    <n v="2"/>
    <s v="February"/>
  </r>
  <r>
    <s v="C0314"/>
    <s v="Sneha Patel"/>
    <n v="23"/>
    <x v="0"/>
    <x v="3"/>
    <s v="Maharashtra"/>
    <s v="Mahindra"/>
    <x v="1"/>
    <x v="0"/>
    <x v="0"/>
    <s v="Automatic"/>
    <d v="2026-04-04T00:00:00"/>
    <d v="2026-04-20T00:00:00"/>
    <n v="1761617"/>
    <n v="93512"/>
    <n v="1668105"/>
    <x v="0"/>
    <x v="4"/>
    <s v="Yes"/>
    <s v="Yes"/>
    <n v="4.0999999999999996"/>
    <x v="1"/>
    <n v="4"/>
    <s v="April"/>
  </r>
  <r>
    <s v="C0315"/>
    <s v="Rohit Singh"/>
    <n v="22"/>
    <x v="1"/>
    <x v="2"/>
    <s v="Tamil Nadu"/>
    <s v="Mahindra"/>
    <x v="0"/>
    <x v="1"/>
    <x v="1"/>
    <s v="Automatic"/>
    <d v="2025-03-05T00:00:00"/>
    <d v="2025-04-18T00:00:00"/>
    <n v="1832246"/>
    <n v="78394"/>
    <n v="1753852"/>
    <x v="3"/>
    <x v="3"/>
    <s v="No"/>
    <s v="Yes"/>
    <n v="3.8"/>
    <x v="0"/>
    <n v="4"/>
    <s v="April"/>
  </r>
  <r>
    <s v="C0316"/>
    <s v="Arjun Kumar"/>
    <n v="31"/>
    <x v="0"/>
    <x v="5"/>
    <s v="Tamil Nadu"/>
    <s v="Mahindra"/>
    <x v="0"/>
    <x v="1"/>
    <x v="0"/>
    <s v="Automatic"/>
    <d v="2026-06-14T00:00:00"/>
    <d v="2026-07-24T00:00:00"/>
    <n v="1859707"/>
    <n v="40344"/>
    <n v="1819363"/>
    <x v="2"/>
    <x v="2"/>
    <s v="No"/>
    <s v="Yes"/>
    <n v="4.5999999999999996"/>
    <x v="0"/>
    <n v="7"/>
    <s v="July"/>
  </r>
  <r>
    <s v="C0317"/>
    <s v="Vikram Rao"/>
    <n v="39"/>
    <x v="0"/>
    <x v="0"/>
    <s v="Telangana"/>
    <s v="Mahindra"/>
    <x v="0"/>
    <x v="4"/>
    <x v="1"/>
    <s v="Manual"/>
    <d v="2026-06-03T00:00:00"/>
    <d v="2026-07-10T00:00:00"/>
    <n v="1431699"/>
    <n v="49771"/>
    <n v="1381928"/>
    <x v="1"/>
    <x v="1"/>
    <s v="Yes"/>
    <s v="No"/>
    <n v="4.5999999999999996"/>
    <x v="0"/>
    <n v="7"/>
    <s v="July"/>
  </r>
  <r>
    <s v="C0318"/>
    <s v="Anjali Verma"/>
    <n v="27"/>
    <x v="1"/>
    <x v="0"/>
    <s v="Telangana"/>
    <s v="Mahindra"/>
    <x v="0"/>
    <x v="2"/>
    <x v="1"/>
    <s v="Automatic"/>
    <d v="2025-03-05T00:00:00"/>
    <d v="2025-03-29T00:00:00"/>
    <n v="1830484"/>
    <n v="11109"/>
    <n v="1819375"/>
    <x v="3"/>
    <x v="0"/>
    <s v="Yes"/>
    <s v="Yes"/>
    <n v="3.9"/>
    <x v="0"/>
    <n v="3"/>
    <s v="March"/>
  </r>
  <r>
    <s v="C0319"/>
    <s v="Anjali Verma"/>
    <n v="43"/>
    <x v="0"/>
    <x v="5"/>
    <s v="Tamil Nadu"/>
    <s v="Mahindra"/>
    <x v="2"/>
    <x v="2"/>
    <x v="1"/>
    <s v="Automatic"/>
    <d v="2026-03-14T00:00:00"/>
    <d v="2026-04-09T00:00:00"/>
    <n v="1898827"/>
    <n v="79165"/>
    <n v="1819662"/>
    <x v="1"/>
    <x v="0"/>
    <s v="No"/>
    <s v="No"/>
    <n v="3.6"/>
    <x v="0"/>
    <n v="4"/>
    <s v="April"/>
  </r>
  <r>
    <s v="C0320"/>
    <s v="Arjun Kumar"/>
    <n v="42"/>
    <x v="0"/>
    <x v="0"/>
    <s v="Telangana"/>
    <s v="Mahindra"/>
    <x v="0"/>
    <x v="2"/>
    <x v="1"/>
    <s v="Manual"/>
    <d v="2025-04-22T00:00:00"/>
    <d v="2025-05-22T00:00:00"/>
    <n v="1449670"/>
    <n v="26782"/>
    <n v="1422888"/>
    <x v="3"/>
    <x v="0"/>
    <s v="No"/>
    <s v="Yes"/>
    <n v="3.4"/>
    <x v="0"/>
    <n v="5"/>
    <s v="May"/>
  </r>
  <r>
    <s v="C0321"/>
    <s v="Vikram Rao"/>
    <n v="29"/>
    <x v="1"/>
    <x v="1"/>
    <s v="Tamil Nadu"/>
    <s v="Mahindra"/>
    <x v="0"/>
    <x v="3"/>
    <x v="1"/>
    <s v="Automatic"/>
    <d v="2025-06-08T00:00:00"/>
    <d v="2025-07-01T00:00:00"/>
    <n v="1642632"/>
    <n v="12378"/>
    <n v="1630254"/>
    <x v="4"/>
    <x v="4"/>
    <s v="Yes"/>
    <s v="No"/>
    <n v="3.6"/>
    <x v="0"/>
    <n v="7"/>
    <s v="July"/>
  </r>
  <r>
    <s v="C0322"/>
    <s v="Sneha Patel"/>
    <n v="58"/>
    <x v="0"/>
    <x v="2"/>
    <s v="Tamil Nadu"/>
    <s v="Mahindra"/>
    <x v="1"/>
    <x v="0"/>
    <x v="0"/>
    <s v="Manual"/>
    <d v="2025-05-06T00:00:00"/>
    <d v="2025-06-13T00:00:00"/>
    <n v="1811609"/>
    <n v="11026"/>
    <n v="1800583"/>
    <x v="0"/>
    <x v="4"/>
    <s v="No"/>
    <s v="No"/>
    <n v="4.5999999999999996"/>
    <x v="0"/>
    <n v="6"/>
    <s v="June"/>
  </r>
  <r>
    <s v="C0323"/>
    <s v="Rohit Singh"/>
    <n v="38"/>
    <x v="1"/>
    <x v="3"/>
    <s v="Maharashtra"/>
    <s v="Mahindra"/>
    <x v="1"/>
    <x v="1"/>
    <x v="1"/>
    <s v="Manual"/>
    <d v="2025-06-18T00:00:00"/>
    <d v="2025-07-27T00:00:00"/>
    <n v="1807078"/>
    <n v="23104"/>
    <n v="1783974"/>
    <x v="3"/>
    <x v="1"/>
    <s v="No"/>
    <s v="No"/>
    <n v="4.7"/>
    <x v="0"/>
    <n v="7"/>
    <s v="July"/>
  </r>
  <r>
    <s v="C0324"/>
    <s v="Karthik S"/>
    <n v="35"/>
    <x v="0"/>
    <x v="4"/>
    <s v="Karnataka"/>
    <s v="Mahindra"/>
    <x v="2"/>
    <x v="3"/>
    <x v="0"/>
    <s v="Manual"/>
    <d v="2025-12-31T00:00:00"/>
    <d v="2026-01-11T00:00:00"/>
    <n v="1737301"/>
    <n v="80228"/>
    <n v="1657073"/>
    <x v="1"/>
    <x v="1"/>
    <s v="Yes"/>
    <s v="No"/>
    <n v="3.2"/>
    <x v="1"/>
    <n v="1"/>
    <s v="January"/>
  </r>
  <r>
    <s v="C0325"/>
    <s v="Arjun Kumar"/>
    <n v="56"/>
    <x v="1"/>
    <x v="4"/>
    <s v="Karnataka"/>
    <s v="Mahindra"/>
    <x v="0"/>
    <x v="4"/>
    <x v="1"/>
    <s v="Manual"/>
    <d v="2025-10-22T00:00:00"/>
    <d v="2025-11-27T00:00:00"/>
    <n v="1425218"/>
    <n v="94773"/>
    <n v="1330445"/>
    <x v="1"/>
    <x v="4"/>
    <s v="No"/>
    <s v="No"/>
    <n v="3.1"/>
    <x v="0"/>
    <n v="11"/>
    <s v="November"/>
  </r>
  <r>
    <s v="C0326"/>
    <s v="Rahul Sharma"/>
    <n v="23"/>
    <x v="0"/>
    <x v="0"/>
    <s v="Telangana"/>
    <s v="Mahindra"/>
    <x v="0"/>
    <x v="0"/>
    <x v="0"/>
    <s v="Manual"/>
    <d v="2025-05-31T00:00:00"/>
    <d v="2025-07-01T00:00:00"/>
    <n v="1571317"/>
    <n v="26355"/>
    <n v="1544962"/>
    <x v="1"/>
    <x v="0"/>
    <s v="No"/>
    <s v="No"/>
    <n v="3.6"/>
    <x v="0"/>
    <n v="7"/>
    <s v="July"/>
  </r>
  <r>
    <s v="C0327"/>
    <s v="Meera Iyer"/>
    <n v="40"/>
    <x v="1"/>
    <x v="5"/>
    <s v="Tamil Nadu"/>
    <s v="Mahindra"/>
    <x v="1"/>
    <x v="3"/>
    <x v="1"/>
    <s v="Automatic"/>
    <d v="2026-02-28T00:00:00"/>
    <d v="2026-04-02T00:00:00"/>
    <n v="1749745"/>
    <n v="69644"/>
    <n v="1680101"/>
    <x v="1"/>
    <x v="3"/>
    <s v="Yes"/>
    <s v="No"/>
    <n v="4.5999999999999996"/>
    <x v="0"/>
    <n v="4"/>
    <s v="April"/>
  </r>
  <r>
    <s v="C0328"/>
    <s v="Sneha Patel"/>
    <n v="42"/>
    <x v="1"/>
    <x v="0"/>
    <s v="Telangana"/>
    <s v="Mahindra"/>
    <x v="0"/>
    <x v="0"/>
    <x v="0"/>
    <s v="Manual"/>
    <d v="2026-05-15T00:00:00"/>
    <d v="2026-06-12T00:00:00"/>
    <n v="1454829"/>
    <n v="39053"/>
    <n v="1415776"/>
    <x v="3"/>
    <x v="2"/>
    <s v="Yes"/>
    <s v="No"/>
    <n v="4"/>
    <x v="0"/>
    <n v="6"/>
    <s v="June"/>
  </r>
  <r>
    <s v="C0329"/>
    <s v="Priya Nair"/>
    <n v="34"/>
    <x v="1"/>
    <x v="3"/>
    <s v="Maharashtra"/>
    <s v="Mahindra"/>
    <x v="0"/>
    <x v="4"/>
    <x v="1"/>
    <s v="Manual"/>
    <d v="2025-05-04T00:00:00"/>
    <d v="2025-06-08T00:00:00"/>
    <n v="1308733"/>
    <n v="81556"/>
    <n v="1227177"/>
    <x v="2"/>
    <x v="0"/>
    <s v="No"/>
    <s v="No"/>
    <n v="3.4"/>
    <x v="0"/>
    <n v="6"/>
    <s v="June"/>
  </r>
  <r>
    <s v="C0330"/>
    <s v="Meera Iyer"/>
    <n v="34"/>
    <x v="1"/>
    <x v="2"/>
    <s v="Tamil Nadu"/>
    <s v="Mahindra"/>
    <x v="1"/>
    <x v="3"/>
    <x v="0"/>
    <s v="Manual"/>
    <d v="2025-12-18T00:00:00"/>
    <d v="2026-01-12T00:00:00"/>
    <n v="1897768"/>
    <n v="60846"/>
    <n v="1836922"/>
    <x v="0"/>
    <x v="3"/>
    <s v="Yes"/>
    <s v="No"/>
    <n v="3.2"/>
    <x v="0"/>
    <n v="1"/>
    <s v="January"/>
  </r>
  <r>
    <s v="C0331"/>
    <s v="Rahul Sharma"/>
    <n v="43"/>
    <x v="1"/>
    <x v="2"/>
    <s v="Tamil Nadu"/>
    <s v="Mahindra"/>
    <x v="0"/>
    <x v="2"/>
    <x v="0"/>
    <s v="Automatic"/>
    <d v="2025-08-14T00:00:00"/>
    <d v="2025-09-04T00:00:00"/>
    <n v="1635923"/>
    <n v="13721"/>
    <n v="1622202"/>
    <x v="4"/>
    <x v="3"/>
    <s v="Yes"/>
    <s v="No"/>
    <n v="4"/>
    <x v="0"/>
    <n v="9"/>
    <s v="September"/>
  </r>
  <r>
    <s v="C0332"/>
    <s v="Meera Iyer"/>
    <n v="34"/>
    <x v="1"/>
    <x v="4"/>
    <s v="Karnataka"/>
    <s v="Mahindra"/>
    <x v="2"/>
    <x v="0"/>
    <x v="0"/>
    <s v="Automatic"/>
    <d v="2025-01-11T00:00:00"/>
    <d v="2025-02-06T00:00:00"/>
    <n v="1684853"/>
    <n v="82665"/>
    <n v="1602188"/>
    <x v="0"/>
    <x v="0"/>
    <s v="No"/>
    <s v="Yes"/>
    <n v="3.1"/>
    <x v="0"/>
    <n v="2"/>
    <s v="February"/>
  </r>
  <r>
    <s v="C0333"/>
    <s v="Meera Iyer"/>
    <n v="38"/>
    <x v="0"/>
    <x v="3"/>
    <s v="Maharashtra"/>
    <s v="Mahindra"/>
    <x v="1"/>
    <x v="4"/>
    <x v="0"/>
    <s v="Manual"/>
    <d v="2026-04-23T00:00:00"/>
    <d v="2026-06-01T00:00:00"/>
    <n v="1323679"/>
    <n v="92805"/>
    <n v="1230874"/>
    <x v="0"/>
    <x v="1"/>
    <s v="Yes"/>
    <s v="Yes"/>
    <n v="4.2"/>
    <x v="0"/>
    <n v="6"/>
    <s v="June"/>
  </r>
  <r>
    <s v="C0334"/>
    <s v="Anjali Verma"/>
    <n v="28"/>
    <x v="0"/>
    <x v="2"/>
    <s v="Tamil Nadu"/>
    <s v="Mahindra"/>
    <x v="0"/>
    <x v="2"/>
    <x v="1"/>
    <s v="Automatic"/>
    <d v="2025-07-11T00:00:00"/>
    <d v="2025-07-20T00:00:00"/>
    <n v="1762144"/>
    <n v="17873"/>
    <n v="1744271"/>
    <x v="2"/>
    <x v="1"/>
    <s v="No"/>
    <s v="No"/>
    <n v="3.5"/>
    <x v="2"/>
    <n v="7"/>
    <s v="July"/>
  </r>
  <r>
    <s v="C0335"/>
    <s v="Priya Nair"/>
    <n v="50"/>
    <x v="1"/>
    <x v="3"/>
    <s v="Maharashtra"/>
    <s v="Mahindra"/>
    <x v="0"/>
    <x v="2"/>
    <x v="1"/>
    <s v="Manual"/>
    <d v="2025-01-01T00:00:00"/>
    <d v="2025-02-08T00:00:00"/>
    <n v="1531954"/>
    <n v="41014"/>
    <n v="1490940"/>
    <x v="3"/>
    <x v="1"/>
    <s v="No"/>
    <s v="Yes"/>
    <n v="4.5999999999999996"/>
    <x v="0"/>
    <n v="2"/>
    <s v="February"/>
  </r>
  <r>
    <s v="C0336"/>
    <s v="Anjali Verma"/>
    <n v="27"/>
    <x v="0"/>
    <x v="1"/>
    <s v="Tamil Nadu"/>
    <s v="Mahindra"/>
    <x v="0"/>
    <x v="3"/>
    <x v="1"/>
    <s v="Automatic"/>
    <d v="2025-01-13T00:00:00"/>
    <d v="2025-02-12T00:00:00"/>
    <n v="1800308"/>
    <n v="70374"/>
    <n v="1729934"/>
    <x v="3"/>
    <x v="1"/>
    <s v="No"/>
    <s v="Yes"/>
    <n v="4.5999999999999996"/>
    <x v="0"/>
    <n v="2"/>
    <s v="February"/>
  </r>
  <r>
    <s v="C0337"/>
    <s v="Priya Nair"/>
    <n v="34"/>
    <x v="0"/>
    <x v="5"/>
    <s v="Tamil Nadu"/>
    <s v="Mahindra"/>
    <x v="2"/>
    <x v="4"/>
    <x v="0"/>
    <s v="Automatic"/>
    <d v="2026-04-08T00:00:00"/>
    <d v="2026-04-21T00:00:00"/>
    <n v="1555925"/>
    <n v="92370"/>
    <n v="1463555"/>
    <x v="3"/>
    <x v="4"/>
    <s v="Yes"/>
    <s v="Yes"/>
    <n v="3.7"/>
    <x v="1"/>
    <n v="4"/>
    <s v="April"/>
  </r>
  <r>
    <s v="C0338"/>
    <s v="Anjali Verma"/>
    <n v="22"/>
    <x v="1"/>
    <x v="5"/>
    <s v="Tamil Nadu"/>
    <s v="Mahindra"/>
    <x v="1"/>
    <x v="0"/>
    <x v="1"/>
    <s v="Automatic"/>
    <d v="2025-02-18T00:00:00"/>
    <d v="2025-02-27T00:00:00"/>
    <n v="1689904"/>
    <n v="89655"/>
    <n v="1600249"/>
    <x v="2"/>
    <x v="2"/>
    <s v="Yes"/>
    <s v="No"/>
    <n v="3.5"/>
    <x v="2"/>
    <n v="2"/>
    <s v="February"/>
  </r>
  <r>
    <s v="C0339"/>
    <s v="Anjali Verma"/>
    <n v="59"/>
    <x v="0"/>
    <x v="2"/>
    <s v="Tamil Nadu"/>
    <s v="Mahindra"/>
    <x v="2"/>
    <x v="0"/>
    <x v="0"/>
    <s v="Manual"/>
    <d v="2026-01-11T00:00:00"/>
    <d v="2026-02-04T00:00:00"/>
    <n v="1640362"/>
    <n v="39190"/>
    <n v="1601172"/>
    <x v="3"/>
    <x v="1"/>
    <s v="No"/>
    <s v="Yes"/>
    <n v="4.8"/>
    <x v="0"/>
    <n v="2"/>
    <s v="February"/>
  </r>
  <r>
    <s v="C0340"/>
    <s v="Pooja Das"/>
    <n v="57"/>
    <x v="0"/>
    <x v="2"/>
    <s v="Tamil Nadu"/>
    <s v="Mahindra"/>
    <x v="1"/>
    <x v="4"/>
    <x v="0"/>
    <s v="Automatic"/>
    <d v="2026-02-23T00:00:00"/>
    <d v="2026-03-08T00:00:00"/>
    <n v="1479218"/>
    <n v="19764"/>
    <n v="1459454"/>
    <x v="4"/>
    <x v="2"/>
    <s v="No"/>
    <s v="No"/>
    <n v="3.3"/>
    <x v="1"/>
    <n v="3"/>
    <s v="March"/>
  </r>
  <r>
    <s v="C0341"/>
    <s v="Meera Iyer"/>
    <n v="49"/>
    <x v="1"/>
    <x v="2"/>
    <s v="Tamil Nadu"/>
    <s v="Mahindra"/>
    <x v="1"/>
    <x v="4"/>
    <x v="1"/>
    <s v="Manual"/>
    <d v="2026-02-18T00:00:00"/>
    <d v="2026-03-18T00:00:00"/>
    <n v="1677998"/>
    <n v="94963"/>
    <n v="1583035"/>
    <x v="0"/>
    <x v="0"/>
    <s v="No"/>
    <s v="Yes"/>
    <n v="4.5"/>
    <x v="0"/>
    <n v="3"/>
    <s v="March"/>
  </r>
  <r>
    <s v="C0342"/>
    <s v="Vikram Rao"/>
    <n v="60"/>
    <x v="1"/>
    <x v="2"/>
    <s v="Tamil Nadu"/>
    <s v="Mahindra"/>
    <x v="0"/>
    <x v="1"/>
    <x v="0"/>
    <s v="Manual"/>
    <d v="2025-12-31T00:00:00"/>
    <d v="2026-02-09T00:00:00"/>
    <n v="1800791"/>
    <n v="72607"/>
    <n v="1728184"/>
    <x v="2"/>
    <x v="3"/>
    <s v="No"/>
    <s v="Yes"/>
    <n v="3"/>
    <x v="0"/>
    <n v="2"/>
    <s v="February"/>
  </r>
  <r>
    <s v="C0343"/>
    <s v="Pooja Das"/>
    <n v="57"/>
    <x v="1"/>
    <x v="4"/>
    <s v="Karnataka"/>
    <s v="Mahindra"/>
    <x v="0"/>
    <x v="4"/>
    <x v="1"/>
    <s v="Automatic"/>
    <d v="2025-03-12T00:00:00"/>
    <d v="2025-03-29T00:00:00"/>
    <n v="1355718"/>
    <n v="79308"/>
    <n v="1276410"/>
    <x v="0"/>
    <x v="0"/>
    <s v="Yes"/>
    <s v="No"/>
    <n v="3.3"/>
    <x v="1"/>
    <n v="3"/>
    <s v="March"/>
  </r>
  <r>
    <s v="C0344"/>
    <s v="Anjali Verma"/>
    <n v="39"/>
    <x v="1"/>
    <x v="3"/>
    <s v="Maharashtra"/>
    <s v="Mahindra"/>
    <x v="0"/>
    <x v="3"/>
    <x v="1"/>
    <s v="Automatic"/>
    <d v="2025-01-23T00:00:00"/>
    <d v="2025-02-02T00:00:00"/>
    <n v="1356369"/>
    <n v="97651"/>
    <n v="1258718"/>
    <x v="4"/>
    <x v="1"/>
    <s v="No"/>
    <s v="Yes"/>
    <n v="3.3"/>
    <x v="2"/>
    <n v="2"/>
    <s v="February"/>
  </r>
  <r>
    <s v="C0345"/>
    <s v="Pooja Das"/>
    <n v="43"/>
    <x v="0"/>
    <x v="0"/>
    <s v="Telangana"/>
    <s v="Mahindra"/>
    <x v="1"/>
    <x v="3"/>
    <x v="0"/>
    <s v="Automatic"/>
    <d v="2026-03-20T00:00:00"/>
    <d v="2026-05-01T00:00:00"/>
    <n v="1655965"/>
    <n v="63695"/>
    <n v="1592270"/>
    <x v="4"/>
    <x v="4"/>
    <s v="Yes"/>
    <s v="Yes"/>
    <n v="3.9"/>
    <x v="0"/>
    <n v="5"/>
    <s v="May"/>
  </r>
  <r>
    <s v="C0346"/>
    <s v="Pooja Das"/>
    <n v="52"/>
    <x v="0"/>
    <x v="2"/>
    <s v="Tamil Nadu"/>
    <s v="Mahindra"/>
    <x v="0"/>
    <x v="3"/>
    <x v="1"/>
    <s v="Automatic"/>
    <d v="2025-06-27T00:00:00"/>
    <d v="2025-08-04T00:00:00"/>
    <n v="1419583"/>
    <n v="17727"/>
    <n v="1401856"/>
    <x v="4"/>
    <x v="3"/>
    <s v="No"/>
    <s v="No"/>
    <n v="4.8"/>
    <x v="0"/>
    <n v="8"/>
    <s v="August"/>
  </r>
  <r>
    <s v="C0347"/>
    <s v="Sneha Patel"/>
    <n v="26"/>
    <x v="0"/>
    <x v="4"/>
    <s v="Karnataka"/>
    <s v="Mahindra"/>
    <x v="2"/>
    <x v="1"/>
    <x v="0"/>
    <s v="Automatic"/>
    <d v="2025-12-21T00:00:00"/>
    <d v="2026-01-12T00:00:00"/>
    <n v="1784421"/>
    <n v="14993"/>
    <n v="1769428"/>
    <x v="1"/>
    <x v="1"/>
    <s v="Yes"/>
    <s v="Yes"/>
    <n v="3.1"/>
    <x v="0"/>
    <n v="1"/>
    <s v="January"/>
  </r>
  <r>
    <s v="C0348"/>
    <s v="Meera Iyer"/>
    <n v="47"/>
    <x v="1"/>
    <x v="1"/>
    <s v="Tamil Nadu"/>
    <s v="Mahindra"/>
    <x v="1"/>
    <x v="1"/>
    <x v="1"/>
    <s v="Automatic"/>
    <d v="2026-04-26T00:00:00"/>
    <d v="2026-06-07T00:00:00"/>
    <n v="1853692"/>
    <n v="95413"/>
    <n v="1758279"/>
    <x v="0"/>
    <x v="2"/>
    <s v="No"/>
    <s v="No"/>
    <n v="3.4"/>
    <x v="0"/>
    <n v="6"/>
    <s v="June"/>
  </r>
  <r>
    <s v="C0349"/>
    <s v="Anjali Verma"/>
    <n v="41"/>
    <x v="0"/>
    <x v="0"/>
    <s v="Telangana"/>
    <s v="Mahindra"/>
    <x v="0"/>
    <x v="3"/>
    <x v="0"/>
    <s v="Manual"/>
    <d v="2025-03-16T00:00:00"/>
    <d v="2025-04-01T00:00:00"/>
    <n v="1687401"/>
    <n v="48626"/>
    <n v="1638775"/>
    <x v="2"/>
    <x v="1"/>
    <s v="Yes"/>
    <s v="No"/>
    <n v="4.0999999999999996"/>
    <x v="1"/>
    <n v="4"/>
    <s v="April"/>
  </r>
  <r>
    <s v="C0350"/>
    <s v="Anjali Verma"/>
    <n v="32"/>
    <x v="1"/>
    <x v="3"/>
    <s v="Maharashtra"/>
    <s v="Mahindra"/>
    <x v="0"/>
    <x v="2"/>
    <x v="1"/>
    <s v="Automatic"/>
    <d v="2025-06-01T00:00:00"/>
    <d v="2025-06-14T00:00:00"/>
    <n v="1648099"/>
    <n v="13114"/>
    <n v="1634985"/>
    <x v="2"/>
    <x v="1"/>
    <s v="Yes"/>
    <s v="Yes"/>
    <n v="3.4"/>
    <x v="1"/>
    <n v="6"/>
    <s v="June"/>
  </r>
  <r>
    <s v="C0351"/>
    <s v="Priya Nair"/>
    <n v="27"/>
    <x v="0"/>
    <x v="4"/>
    <s v="Karnataka"/>
    <s v="Mahindra"/>
    <x v="0"/>
    <x v="3"/>
    <x v="1"/>
    <s v="Automatic"/>
    <d v="2025-03-16T00:00:00"/>
    <d v="2025-04-07T00:00:00"/>
    <n v="1401168"/>
    <n v="55585"/>
    <n v="1345583"/>
    <x v="1"/>
    <x v="1"/>
    <s v="Yes"/>
    <s v="No"/>
    <n v="4.2"/>
    <x v="0"/>
    <n v="4"/>
    <s v="April"/>
  </r>
  <r>
    <s v="C0352"/>
    <s v="Anjali Verma"/>
    <n v="30"/>
    <x v="1"/>
    <x v="0"/>
    <s v="Telangana"/>
    <s v="Mahindra"/>
    <x v="1"/>
    <x v="1"/>
    <x v="0"/>
    <s v="Manual"/>
    <d v="2025-08-01T00:00:00"/>
    <d v="2025-08-17T00:00:00"/>
    <n v="1413459"/>
    <n v="80726"/>
    <n v="1332733"/>
    <x v="3"/>
    <x v="2"/>
    <s v="Yes"/>
    <s v="Yes"/>
    <n v="4.5999999999999996"/>
    <x v="1"/>
    <n v="8"/>
    <s v="August"/>
  </r>
  <r>
    <s v="C0353"/>
    <s v="Rohit Singh"/>
    <n v="54"/>
    <x v="1"/>
    <x v="3"/>
    <s v="Maharashtra"/>
    <s v="Mahindra"/>
    <x v="0"/>
    <x v="3"/>
    <x v="0"/>
    <s v="Automatic"/>
    <d v="2025-12-07T00:00:00"/>
    <d v="2025-12-30T00:00:00"/>
    <n v="1490295"/>
    <n v="20110"/>
    <n v="1470185"/>
    <x v="1"/>
    <x v="1"/>
    <s v="No"/>
    <s v="No"/>
    <n v="3.8"/>
    <x v="0"/>
    <n v="12"/>
    <s v="December"/>
  </r>
  <r>
    <s v="C0354"/>
    <s v="Karthik S"/>
    <n v="53"/>
    <x v="1"/>
    <x v="2"/>
    <s v="Tamil Nadu"/>
    <s v="Mahindra"/>
    <x v="1"/>
    <x v="4"/>
    <x v="0"/>
    <s v="Manual"/>
    <d v="2025-06-13T00:00:00"/>
    <d v="2025-07-05T00:00:00"/>
    <n v="1739371"/>
    <n v="31218"/>
    <n v="1708153"/>
    <x v="2"/>
    <x v="3"/>
    <s v="No"/>
    <s v="No"/>
    <n v="4.9000000000000004"/>
    <x v="0"/>
    <n v="7"/>
    <s v="July"/>
  </r>
  <r>
    <s v="C0355"/>
    <s v="Rohit Singh"/>
    <n v="34"/>
    <x v="0"/>
    <x v="3"/>
    <s v="Maharashtra"/>
    <s v="Mahindra"/>
    <x v="1"/>
    <x v="0"/>
    <x v="1"/>
    <s v="Manual"/>
    <d v="2025-08-10T00:00:00"/>
    <d v="2025-09-15T00:00:00"/>
    <n v="1519611"/>
    <n v="95047"/>
    <n v="1424564"/>
    <x v="3"/>
    <x v="1"/>
    <s v="No"/>
    <s v="Yes"/>
    <n v="3.1"/>
    <x v="0"/>
    <n v="9"/>
    <s v="September"/>
  </r>
  <r>
    <s v="C0356"/>
    <s v="Priya Nair"/>
    <n v="59"/>
    <x v="0"/>
    <x v="2"/>
    <s v="Tamil Nadu"/>
    <s v="Mahindra"/>
    <x v="1"/>
    <x v="0"/>
    <x v="0"/>
    <s v="Automatic"/>
    <d v="2026-05-12T00:00:00"/>
    <d v="2026-06-21T00:00:00"/>
    <n v="1705616"/>
    <n v="69952"/>
    <n v="1635664"/>
    <x v="3"/>
    <x v="4"/>
    <s v="Yes"/>
    <s v="No"/>
    <n v="4.2"/>
    <x v="0"/>
    <n v="6"/>
    <s v="June"/>
  </r>
  <r>
    <s v="C0357"/>
    <s v="Rohit Singh"/>
    <n v="50"/>
    <x v="1"/>
    <x v="4"/>
    <s v="Karnataka"/>
    <s v="Mahindra"/>
    <x v="2"/>
    <x v="0"/>
    <x v="0"/>
    <s v="Automatic"/>
    <d v="2025-08-03T00:00:00"/>
    <d v="2025-09-10T00:00:00"/>
    <n v="1503691"/>
    <n v="20584"/>
    <n v="1483107"/>
    <x v="1"/>
    <x v="1"/>
    <s v="Yes"/>
    <s v="Yes"/>
    <n v="3.1"/>
    <x v="0"/>
    <n v="9"/>
    <s v="September"/>
  </r>
  <r>
    <s v="C0358"/>
    <s v="Sneha Patel"/>
    <n v="29"/>
    <x v="1"/>
    <x v="3"/>
    <s v="Maharashtra"/>
    <s v="Mahindra"/>
    <x v="0"/>
    <x v="0"/>
    <x v="1"/>
    <s v="Manual"/>
    <d v="2025-11-19T00:00:00"/>
    <d v="2025-12-02T00:00:00"/>
    <n v="1877927"/>
    <n v="43884"/>
    <n v="1834043"/>
    <x v="1"/>
    <x v="3"/>
    <s v="No"/>
    <s v="Yes"/>
    <n v="4"/>
    <x v="1"/>
    <n v="12"/>
    <s v="December"/>
  </r>
  <r>
    <s v="C0359"/>
    <s v="Karthik S"/>
    <n v="27"/>
    <x v="0"/>
    <x v="5"/>
    <s v="Tamil Nadu"/>
    <s v="Mahindra"/>
    <x v="0"/>
    <x v="2"/>
    <x v="1"/>
    <s v="Manual"/>
    <d v="2025-04-04T00:00:00"/>
    <d v="2025-04-19T00:00:00"/>
    <n v="1417745"/>
    <n v="27820"/>
    <n v="1389925"/>
    <x v="1"/>
    <x v="1"/>
    <s v="Yes"/>
    <s v="No"/>
    <n v="4.9000000000000004"/>
    <x v="1"/>
    <n v="4"/>
    <s v="April"/>
  </r>
  <r>
    <s v="C0360"/>
    <s v="Sneha Patel"/>
    <n v="56"/>
    <x v="0"/>
    <x v="5"/>
    <s v="Tamil Nadu"/>
    <s v="Mahindra"/>
    <x v="1"/>
    <x v="1"/>
    <x v="1"/>
    <s v="Manual"/>
    <d v="2026-03-20T00:00:00"/>
    <d v="2026-03-29T00:00:00"/>
    <n v="1392029"/>
    <n v="34040"/>
    <n v="1357989"/>
    <x v="3"/>
    <x v="0"/>
    <s v="Yes"/>
    <s v="Yes"/>
    <n v="4.8"/>
    <x v="2"/>
    <n v="3"/>
    <s v="March"/>
  </r>
  <r>
    <s v="C0361"/>
    <s v="Priya Nair"/>
    <n v="27"/>
    <x v="1"/>
    <x v="2"/>
    <s v="Tamil Nadu"/>
    <s v="Mahindra"/>
    <x v="0"/>
    <x v="0"/>
    <x v="0"/>
    <s v="Manual"/>
    <d v="2025-11-03T00:00:00"/>
    <d v="2025-11-23T00:00:00"/>
    <n v="1380229"/>
    <n v="78947"/>
    <n v="1301282"/>
    <x v="2"/>
    <x v="2"/>
    <s v="Yes"/>
    <s v="Yes"/>
    <n v="3.4"/>
    <x v="1"/>
    <n v="11"/>
    <s v="November"/>
  </r>
  <r>
    <s v="C0362"/>
    <s v="Meera Iyer"/>
    <n v="46"/>
    <x v="1"/>
    <x v="5"/>
    <s v="Tamil Nadu"/>
    <s v="Mahindra"/>
    <x v="0"/>
    <x v="2"/>
    <x v="1"/>
    <s v="Manual"/>
    <d v="2025-11-16T00:00:00"/>
    <d v="2025-12-31T00:00:00"/>
    <n v="1748261"/>
    <n v="35183"/>
    <n v="1713078"/>
    <x v="4"/>
    <x v="1"/>
    <s v="No"/>
    <s v="Yes"/>
    <n v="3.1"/>
    <x v="0"/>
    <n v="12"/>
    <s v="December"/>
  </r>
  <r>
    <s v="C0363"/>
    <s v="Rohit Singh"/>
    <n v="40"/>
    <x v="1"/>
    <x v="3"/>
    <s v="Maharashtra"/>
    <s v="Mahindra"/>
    <x v="0"/>
    <x v="1"/>
    <x v="0"/>
    <s v="Manual"/>
    <d v="2026-04-03T00:00:00"/>
    <d v="2026-05-16T00:00:00"/>
    <n v="1428537"/>
    <n v="99428"/>
    <n v="1329109"/>
    <x v="3"/>
    <x v="3"/>
    <s v="Yes"/>
    <s v="No"/>
    <n v="4.0999999999999996"/>
    <x v="0"/>
    <n v="5"/>
    <s v="May"/>
  </r>
  <r>
    <s v="C0364"/>
    <s v="Priya Nair"/>
    <n v="23"/>
    <x v="0"/>
    <x v="4"/>
    <s v="Karnataka"/>
    <s v="Mahindra"/>
    <x v="0"/>
    <x v="2"/>
    <x v="0"/>
    <s v="Automatic"/>
    <d v="2025-05-30T00:00:00"/>
    <d v="2025-06-08T00:00:00"/>
    <n v="1738725"/>
    <n v="57600"/>
    <n v="1681125"/>
    <x v="2"/>
    <x v="4"/>
    <s v="Yes"/>
    <s v="Yes"/>
    <n v="3.9"/>
    <x v="2"/>
    <n v="6"/>
    <s v="June"/>
  </r>
  <r>
    <s v="C0365"/>
    <s v="Karthik S"/>
    <n v="55"/>
    <x v="0"/>
    <x v="1"/>
    <s v="Tamil Nadu"/>
    <s v="Mahindra"/>
    <x v="0"/>
    <x v="1"/>
    <x v="1"/>
    <s v="Manual"/>
    <d v="2026-02-18T00:00:00"/>
    <d v="2026-03-03T00:00:00"/>
    <n v="1831481"/>
    <n v="92771"/>
    <n v="1738710"/>
    <x v="3"/>
    <x v="4"/>
    <s v="No"/>
    <s v="No"/>
    <n v="4.7"/>
    <x v="1"/>
    <n v="3"/>
    <s v="March"/>
  </r>
  <r>
    <s v="C0366"/>
    <s v="Rohit Singh"/>
    <n v="34"/>
    <x v="0"/>
    <x v="2"/>
    <s v="Tamil Nadu"/>
    <s v="Mahindra"/>
    <x v="1"/>
    <x v="4"/>
    <x v="1"/>
    <s v="Automatic"/>
    <d v="2025-11-20T00:00:00"/>
    <d v="2025-12-15T00:00:00"/>
    <n v="1436633"/>
    <n v="20353"/>
    <n v="1416280"/>
    <x v="1"/>
    <x v="3"/>
    <s v="Yes"/>
    <s v="Yes"/>
    <n v="3.6"/>
    <x v="0"/>
    <n v="12"/>
    <s v="December"/>
  </r>
  <r>
    <s v="C0367"/>
    <s v="Pooja Das"/>
    <n v="49"/>
    <x v="0"/>
    <x v="1"/>
    <s v="Tamil Nadu"/>
    <s v="Mahindra"/>
    <x v="0"/>
    <x v="3"/>
    <x v="0"/>
    <s v="Automatic"/>
    <d v="2026-05-03T00:00:00"/>
    <d v="2026-05-27T00:00:00"/>
    <n v="1454086"/>
    <n v="51589"/>
    <n v="1402497"/>
    <x v="2"/>
    <x v="2"/>
    <s v="Yes"/>
    <s v="No"/>
    <n v="3.9"/>
    <x v="0"/>
    <n v="5"/>
    <s v="May"/>
  </r>
  <r>
    <s v="C0368"/>
    <s v="Rohit Singh"/>
    <n v="36"/>
    <x v="0"/>
    <x v="4"/>
    <s v="Karnataka"/>
    <s v="Mahindra"/>
    <x v="0"/>
    <x v="2"/>
    <x v="0"/>
    <s v="Automatic"/>
    <d v="2025-12-08T00:00:00"/>
    <d v="2026-01-21T00:00:00"/>
    <n v="1675205"/>
    <n v="31058"/>
    <n v="1644147"/>
    <x v="1"/>
    <x v="2"/>
    <s v="No"/>
    <s v="Yes"/>
    <n v="4.3"/>
    <x v="0"/>
    <n v="1"/>
    <s v="January"/>
  </r>
  <r>
    <s v="C0369"/>
    <s v="Pooja Das"/>
    <n v="35"/>
    <x v="1"/>
    <x v="4"/>
    <s v="Karnataka"/>
    <s v="Mahindra"/>
    <x v="1"/>
    <x v="3"/>
    <x v="1"/>
    <s v="Manual"/>
    <d v="2025-04-03T00:00:00"/>
    <d v="2025-05-06T00:00:00"/>
    <n v="1374699"/>
    <n v="34625"/>
    <n v="1340074"/>
    <x v="4"/>
    <x v="1"/>
    <s v="Yes"/>
    <s v="Yes"/>
    <n v="4.9000000000000004"/>
    <x v="0"/>
    <n v="5"/>
    <s v="May"/>
  </r>
  <r>
    <s v="C0370"/>
    <s v="Anjali Verma"/>
    <n v="25"/>
    <x v="0"/>
    <x v="4"/>
    <s v="Karnataka"/>
    <s v="Mahindra"/>
    <x v="0"/>
    <x v="0"/>
    <x v="1"/>
    <s v="Manual"/>
    <d v="2025-09-04T00:00:00"/>
    <d v="2025-09-18T00:00:00"/>
    <n v="1305760"/>
    <n v="81911"/>
    <n v="1223849"/>
    <x v="2"/>
    <x v="2"/>
    <s v="Yes"/>
    <s v="No"/>
    <n v="4.7"/>
    <x v="1"/>
    <n v="9"/>
    <s v="September"/>
  </r>
  <r>
    <s v="C0371"/>
    <s v="Rohit Singh"/>
    <n v="25"/>
    <x v="1"/>
    <x v="4"/>
    <s v="Karnataka"/>
    <s v="Mahindra"/>
    <x v="1"/>
    <x v="3"/>
    <x v="1"/>
    <s v="Manual"/>
    <d v="2026-05-18T00:00:00"/>
    <d v="2026-05-27T00:00:00"/>
    <n v="1663032"/>
    <n v="15068"/>
    <n v="1647964"/>
    <x v="0"/>
    <x v="4"/>
    <s v="Yes"/>
    <s v="Yes"/>
    <n v="3.2"/>
    <x v="2"/>
    <n v="5"/>
    <s v="May"/>
  </r>
  <r>
    <s v="C0372"/>
    <s v="Sneha Patel"/>
    <n v="40"/>
    <x v="0"/>
    <x v="4"/>
    <s v="Karnataka"/>
    <s v="Mahindra"/>
    <x v="0"/>
    <x v="4"/>
    <x v="1"/>
    <s v="Automatic"/>
    <d v="2026-03-24T00:00:00"/>
    <d v="2026-05-04T00:00:00"/>
    <n v="1464667"/>
    <n v="69871"/>
    <n v="1394796"/>
    <x v="0"/>
    <x v="0"/>
    <s v="No"/>
    <s v="Yes"/>
    <n v="3.4"/>
    <x v="0"/>
    <n v="5"/>
    <s v="May"/>
  </r>
  <r>
    <s v="C0373"/>
    <s v="Rahul Sharma"/>
    <n v="40"/>
    <x v="0"/>
    <x v="1"/>
    <s v="Tamil Nadu"/>
    <s v="Mahindra"/>
    <x v="0"/>
    <x v="0"/>
    <x v="1"/>
    <s v="Manual"/>
    <d v="2025-02-23T00:00:00"/>
    <d v="2025-03-07T00:00:00"/>
    <n v="1560144"/>
    <n v="43873"/>
    <n v="1516271"/>
    <x v="1"/>
    <x v="2"/>
    <s v="Yes"/>
    <s v="Yes"/>
    <n v="4.5"/>
    <x v="1"/>
    <n v="3"/>
    <s v="March"/>
  </r>
  <r>
    <s v="C0374"/>
    <s v="Rahul Sharma"/>
    <n v="59"/>
    <x v="0"/>
    <x v="4"/>
    <s v="Karnataka"/>
    <s v="Mahindra"/>
    <x v="1"/>
    <x v="3"/>
    <x v="0"/>
    <s v="Automatic"/>
    <d v="2026-04-17T00:00:00"/>
    <d v="2026-05-21T00:00:00"/>
    <n v="1588138"/>
    <n v="99479"/>
    <n v="1488659"/>
    <x v="0"/>
    <x v="4"/>
    <s v="No"/>
    <s v="No"/>
    <n v="3.4"/>
    <x v="0"/>
    <n v="5"/>
    <s v="May"/>
  </r>
  <r>
    <s v="C0375"/>
    <s v="Priya Nair"/>
    <n v="31"/>
    <x v="0"/>
    <x v="5"/>
    <s v="Tamil Nadu"/>
    <s v="Mahindra"/>
    <x v="0"/>
    <x v="2"/>
    <x v="0"/>
    <s v="Manual"/>
    <d v="2025-01-01T00:00:00"/>
    <d v="2025-02-07T00:00:00"/>
    <n v="1789786"/>
    <n v="92159"/>
    <n v="1697627"/>
    <x v="3"/>
    <x v="3"/>
    <s v="No"/>
    <s v="Yes"/>
    <n v="4.5"/>
    <x v="0"/>
    <n v="2"/>
    <s v="February"/>
  </r>
  <r>
    <s v="C0376"/>
    <s v="Rahul Sharma"/>
    <n v="24"/>
    <x v="1"/>
    <x v="0"/>
    <s v="Telangana"/>
    <s v="Mahindra"/>
    <x v="1"/>
    <x v="3"/>
    <x v="1"/>
    <s v="Manual"/>
    <d v="2025-09-03T00:00:00"/>
    <d v="2025-09-18T00:00:00"/>
    <n v="1519641"/>
    <n v="20303"/>
    <n v="1499338"/>
    <x v="3"/>
    <x v="2"/>
    <s v="No"/>
    <s v="Yes"/>
    <n v="3.3"/>
    <x v="1"/>
    <n v="9"/>
    <s v="September"/>
  </r>
  <r>
    <s v="C0377"/>
    <s v="Pooja Das"/>
    <n v="23"/>
    <x v="1"/>
    <x v="0"/>
    <s v="Telangana"/>
    <s v="Mahindra"/>
    <x v="0"/>
    <x v="0"/>
    <x v="1"/>
    <s v="Manual"/>
    <d v="2025-05-05T00:00:00"/>
    <d v="2025-05-14T00:00:00"/>
    <n v="1570792"/>
    <n v="42725"/>
    <n v="1528067"/>
    <x v="2"/>
    <x v="4"/>
    <s v="No"/>
    <s v="No"/>
    <n v="4.0999999999999996"/>
    <x v="2"/>
    <n v="5"/>
    <s v="May"/>
  </r>
  <r>
    <s v="C0378"/>
    <s v="Meera Iyer"/>
    <n v="48"/>
    <x v="1"/>
    <x v="2"/>
    <s v="Tamil Nadu"/>
    <s v="Mahindra"/>
    <x v="1"/>
    <x v="0"/>
    <x v="0"/>
    <s v="Manual"/>
    <d v="2026-06-02T00:00:00"/>
    <d v="2026-06-20T00:00:00"/>
    <n v="1463362"/>
    <n v="57759"/>
    <n v="1405603"/>
    <x v="4"/>
    <x v="1"/>
    <s v="Yes"/>
    <s v="Yes"/>
    <n v="4.4000000000000004"/>
    <x v="1"/>
    <n v="6"/>
    <s v="June"/>
  </r>
  <r>
    <s v="C0379"/>
    <s v="Meera Iyer"/>
    <n v="38"/>
    <x v="1"/>
    <x v="5"/>
    <s v="Tamil Nadu"/>
    <s v="Mahindra"/>
    <x v="2"/>
    <x v="2"/>
    <x v="0"/>
    <s v="Automatic"/>
    <d v="2025-03-31T00:00:00"/>
    <d v="2025-04-19T00:00:00"/>
    <n v="1458816"/>
    <n v="45299"/>
    <n v="1413517"/>
    <x v="1"/>
    <x v="0"/>
    <s v="No"/>
    <s v="Yes"/>
    <n v="4.2"/>
    <x v="1"/>
    <n v="4"/>
    <s v="April"/>
  </r>
  <r>
    <s v="C0380"/>
    <s v="Priya Nair"/>
    <n v="55"/>
    <x v="0"/>
    <x v="1"/>
    <s v="Tamil Nadu"/>
    <s v="Mahindra"/>
    <x v="2"/>
    <x v="2"/>
    <x v="0"/>
    <s v="Automatic"/>
    <d v="2026-01-27T00:00:00"/>
    <d v="2026-02-21T00:00:00"/>
    <n v="1753973"/>
    <n v="80230"/>
    <n v="1673743"/>
    <x v="4"/>
    <x v="2"/>
    <s v="No"/>
    <s v="Yes"/>
    <n v="3.1"/>
    <x v="0"/>
    <n v="2"/>
    <s v="February"/>
  </r>
  <r>
    <s v="C0381"/>
    <s v="Karthik S"/>
    <n v="42"/>
    <x v="0"/>
    <x v="2"/>
    <s v="Tamil Nadu"/>
    <s v="Mahindra"/>
    <x v="0"/>
    <x v="2"/>
    <x v="0"/>
    <s v="Automatic"/>
    <d v="2026-01-31T00:00:00"/>
    <d v="2026-02-16T00:00:00"/>
    <n v="1644778"/>
    <n v="54160"/>
    <n v="1590618"/>
    <x v="4"/>
    <x v="3"/>
    <s v="No"/>
    <s v="Yes"/>
    <n v="4.2"/>
    <x v="1"/>
    <n v="2"/>
    <s v="February"/>
  </r>
  <r>
    <s v="C0382"/>
    <s v="Priya Nair"/>
    <n v="45"/>
    <x v="0"/>
    <x v="4"/>
    <s v="Karnataka"/>
    <s v="Mahindra"/>
    <x v="0"/>
    <x v="1"/>
    <x v="1"/>
    <s v="Automatic"/>
    <d v="2026-03-13T00:00:00"/>
    <d v="2026-03-23T00:00:00"/>
    <n v="1717445"/>
    <n v="50016"/>
    <n v="1667429"/>
    <x v="3"/>
    <x v="3"/>
    <s v="No"/>
    <s v="Yes"/>
    <n v="3.2"/>
    <x v="2"/>
    <n v="3"/>
    <s v="March"/>
  </r>
  <r>
    <s v="C0383"/>
    <s v="Sneha Patel"/>
    <n v="36"/>
    <x v="1"/>
    <x v="4"/>
    <s v="Karnataka"/>
    <s v="Mahindra"/>
    <x v="0"/>
    <x v="4"/>
    <x v="0"/>
    <s v="Manual"/>
    <d v="2025-07-30T00:00:00"/>
    <d v="2025-09-13T00:00:00"/>
    <n v="1642237"/>
    <n v="32773"/>
    <n v="1609464"/>
    <x v="4"/>
    <x v="1"/>
    <s v="Yes"/>
    <s v="Yes"/>
    <n v="3.7"/>
    <x v="0"/>
    <n v="9"/>
    <s v="September"/>
  </r>
  <r>
    <s v="C0384"/>
    <s v="Pooja Das"/>
    <n v="22"/>
    <x v="1"/>
    <x v="2"/>
    <s v="Tamil Nadu"/>
    <s v="Mahindra"/>
    <x v="2"/>
    <x v="0"/>
    <x v="1"/>
    <s v="Manual"/>
    <d v="2025-04-12T00:00:00"/>
    <d v="2025-05-09T00:00:00"/>
    <n v="1549298"/>
    <n v="56592"/>
    <n v="1492706"/>
    <x v="0"/>
    <x v="4"/>
    <s v="No"/>
    <s v="Yes"/>
    <n v="3.2"/>
    <x v="0"/>
    <n v="5"/>
    <s v="May"/>
  </r>
  <r>
    <s v="C0385"/>
    <s v="Vikram Rao"/>
    <n v="60"/>
    <x v="1"/>
    <x v="4"/>
    <s v="Karnataka"/>
    <s v="Mahindra"/>
    <x v="1"/>
    <x v="4"/>
    <x v="1"/>
    <s v="Manual"/>
    <d v="2026-03-18T00:00:00"/>
    <d v="2026-04-27T00:00:00"/>
    <n v="1673843"/>
    <n v="76718"/>
    <n v="1597125"/>
    <x v="3"/>
    <x v="2"/>
    <s v="Yes"/>
    <s v="No"/>
    <n v="3.6"/>
    <x v="0"/>
    <n v="4"/>
    <s v="April"/>
  </r>
  <r>
    <s v="C0386"/>
    <s v="Priya Nair"/>
    <n v="24"/>
    <x v="1"/>
    <x v="0"/>
    <s v="Telangana"/>
    <s v="Mahindra"/>
    <x v="0"/>
    <x v="1"/>
    <x v="1"/>
    <s v="Manual"/>
    <d v="2025-02-26T00:00:00"/>
    <d v="2025-04-03T00:00:00"/>
    <n v="1876167"/>
    <n v="66911"/>
    <n v="1809256"/>
    <x v="1"/>
    <x v="0"/>
    <s v="Yes"/>
    <s v="Yes"/>
    <n v="4.9000000000000004"/>
    <x v="0"/>
    <n v="4"/>
    <s v="April"/>
  </r>
  <r>
    <s v="C0387"/>
    <s v="Meera Iyer"/>
    <n v="55"/>
    <x v="1"/>
    <x v="3"/>
    <s v="Maharashtra"/>
    <s v="Mahindra"/>
    <x v="1"/>
    <x v="2"/>
    <x v="1"/>
    <s v="Automatic"/>
    <d v="2025-10-07T00:00:00"/>
    <d v="2025-10-27T00:00:00"/>
    <n v="1824954"/>
    <n v="29775"/>
    <n v="1795179"/>
    <x v="0"/>
    <x v="0"/>
    <s v="No"/>
    <s v="No"/>
    <n v="4.5"/>
    <x v="1"/>
    <n v="10"/>
    <s v="October"/>
  </r>
  <r>
    <s v="C0388"/>
    <s v="Rohit Singh"/>
    <n v="32"/>
    <x v="0"/>
    <x v="3"/>
    <s v="Maharashtra"/>
    <s v="Mahindra"/>
    <x v="1"/>
    <x v="0"/>
    <x v="1"/>
    <s v="Manual"/>
    <d v="2025-08-22T00:00:00"/>
    <d v="2025-09-23T00:00:00"/>
    <n v="1786730"/>
    <n v="56201"/>
    <n v="1730529"/>
    <x v="1"/>
    <x v="1"/>
    <s v="Yes"/>
    <s v="Yes"/>
    <n v="3.2"/>
    <x v="0"/>
    <n v="9"/>
    <s v="September"/>
  </r>
  <r>
    <s v="C0389"/>
    <s v="Arjun Kumar"/>
    <n v="55"/>
    <x v="1"/>
    <x v="2"/>
    <s v="Tamil Nadu"/>
    <s v="Mahindra"/>
    <x v="0"/>
    <x v="2"/>
    <x v="0"/>
    <s v="Manual"/>
    <d v="2025-06-11T00:00:00"/>
    <d v="2025-07-04T00:00:00"/>
    <n v="1321353"/>
    <n v="11014"/>
    <n v="1310339"/>
    <x v="1"/>
    <x v="4"/>
    <s v="Yes"/>
    <s v="Yes"/>
    <n v="4.8"/>
    <x v="0"/>
    <n v="7"/>
    <s v="July"/>
  </r>
  <r>
    <s v="C0390"/>
    <s v="Meera Iyer"/>
    <n v="24"/>
    <x v="1"/>
    <x v="3"/>
    <s v="Maharashtra"/>
    <s v="Mahindra"/>
    <x v="2"/>
    <x v="0"/>
    <x v="1"/>
    <s v="Automatic"/>
    <d v="2026-06-02T00:00:00"/>
    <d v="2026-07-15T00:00:00"/>
    <n v="1441851"/>
    <n v="71088"/>
    <n v="1370763"/>
    <x v="2"/>
    <x v="0"/>
    <s v="Yes"/>
    <s v="Yes"/>
    <n v="3.1"/>
    <x v="0"/>
    <n v="7"/>
    <s v="July"/>
  </r>
  <r>
    <s v="C0391"/>
    <s v="Priya Nair"/>
    <n v="21"/>
    <x v="1"/>
    <x v="3"/>
    <s v="Maharashtra"/>
    <s v="Mahindra"/>
    <x v="0"/>
    <x v="3"/>
    <x v="0"/>
    <s v="Manual"/>
    <d v="2025-04-04T00:00:00"/>
    <d v="2025-05-13T00:00:00"/>
    <n v="1303874"/>
    <n v="23727"/>
    <n v="1280147"/>
    <x v="1"/>
    <x v="4"/>
    <s v="No"/>
    <s v="No"/>
    <n v="4.3"/>
    <x v="0"/>
    <n v="5"/>
    <s v="May"/>
  </r>
  <r>
    <s v="C0392"/>
    <s v="Meera Iyer"/>
    <n v="49"/>
    <x v="0"/>
    <x v="0"/>
    <s v="Telangana"/>
    <s v="Mahindra"/>
    <x v="2"/>
    <x v="2"/>
    <x v="0"/>
    <s v="Manual"/>
    <d v="2026-06-25T00:00:00"/>
    <d v="2026-07-18T00:00:00"/>
    <n v="1723170"/>
    <n v="42938"/>
    <n v="1680232"/>
    <x v="2"/>
    <x v="0"/>
    <s v="No"/>
    <s v="No"/>
    <n v="3.3"/>
    <x v="0"/>
    <n v="7"/>
    <s v="July"/>
  </r>
  <r>
    <s v="C0393"/>
    <s v="Pooja Das"/>
    <n v="28"/>
    <x v="1"/>
    <x v="3"/>
    <s v="Maharashtra"/>
    <s v="Mahindra"/>
    <x v="1"/>
    <x v="2"/>
    <x v="0"/>
    <s v="Automatic"/>
    <d v="2026-05-12T00:00:00"/>
    <d v="2026-06-09T00:00:00"/>
    <n v="1392186"/>
    <n v="14531"/>
    <n v="1377655"/>
    <x v="4"/>
    <x v="3"/>
    <s v="No"/>
    <s v="Yes"/>
    <n v="3.5"/>
    <x v="0"/>
    <n v="6"/>
    <s v="June"/>
  </r>
  <r>
    <s v="C0394"/>
    <s v="Vikram Rao"/>
    <n v="49"/>
    <x v="0"/>
    <x v="0"/>
    <s v="Telangana"/>
    <s v="Mahindra"/>
    <x v="1"/>
    <x v="2"/>
    <x v="1"/>
    <s v="Manual"/>
    <d v="2026-01-13T00:00:00"/>
    <d v="2026-02-07T00:00:00"/>
    <n v="1358845"/>
    <n v="48030"/>
    <n v="1310815"/>
    <x v="2"/>
    <x v="3"/>
    <s v="No"/>
    <s v="No"/>
    <n v="4"/>
    <x v="0"/>
    <n v="2"/>
    <s v="February"/>
  </r>
  <r>
    <s v="C0395"/>
    <s v="Arjun Kumar"/>
    <n v="45"/>
    <x v="0"/>
    <x v="4"/>
    <s v="Karnataka"/>
    <s v="Mahindra"/>
    <x v="1"/>
    <x v="0"/>
    <x v="0"/>
    <s v="Manual"/>
    <d v="2026-04-30T00:00:00"/>
    <d v="2026-05-23T00:00:00"/>
    <n v="1388548"/>
    <n v="88124"/>
    <n v="1300424"/>
    <x v="1"/>
    <x v="3"/>
    <s v="Yes"/>
    <s v="No"/>
    <n v="4.3"/>
    <x v="0"/>
    <n v="5"/>
    <s v="May"/>
  </r>
  <r>
    <s v="C0396"/>
    <s v="Rahul Sharma"/>
    <n v="36"/>
    <x v="1"/>
    <x v="1"/>
    <s v="Tamil Nadu"/>
    <s v="Mahindra"/>
    <x v="1"/>
    <x v="1"/>
    <x v="0"/>
    <s v="Automatic"/>
    <d v="2025-03-11T00:00:00"/>
    <d v="2025-03-20T00:00:00"/>
    <n v="1338976"/>
    <n v="51468"/>
    <n v="1287508"/>
    <x v="1"/>
    <x v="0"/>
    <s v="No"/>
    <s v="No"/>
    <n v="3.1"/>
    <x v="2"/>
    <n v="3"/>
    <s v="March"/>
  </r>
  <r>
    <s v="C0397"/>
    <s v="Anjali Verma"/>
    <n v="50"/>
    <x v="0"/>
    <x v="0"/>
    <s v="Telangana"/>
    <s v="Mahindra"/>
    <x v="0"/>
    <x v="1"/>
    <x v="1"/>
    <s v="Automatic"/>
    <d v="2026-04-08T00:00:00"/>
    <d v="2026-05-11T00:00:00"/>
    <n v="1791833"/>
    <n v="86747"/>
    <n v="1705086"/>
    <x v="1"/>
    <x v="0"/>
    <s v="Yes"/>
    <s v="Yes"/>
    <n v="3.5"/>
    <x v="0"/>
    <n v="5"/>
    <s v="May"/>
  </r>
  <r>
    <s v="C0398"/>
    <s v="Rohit Singh"/>
    <n v="27"/>
    <x v="1"/>
    <x v="3"/>
    <s v="Maharashtra"/>
    <s v="Mahindra"/>
    <x v="0"/>
    <x v="4"/>
    <x v="0"/>
    <s v="Manual"/>
    <d v="2026-05-19T00:00:00"/>
    <d v="2026-07-02T00:00:00"/>
    <n v="1478739"/>
    <n v="70061"/>
    <n v="1408678"/>
    <x v="3"/>
    <x v="3"/>
    <s v="No"/>
    <s v="No"/>
    <n v="3.9"/>
    <x v="0"/>
    <n v="7"/>
    <s v="July"/>
  </r>
  <r>
    <s v="C0399"/>
    <s v="Sneha Patel"/>
    <n v="32"/>
    <x v="0"/>
    <x v="4"/>
    <s v="Karnataka"/>
    <s v="Mahindra"/>
    <x v="2"/>
    <x v="3"/>
    <x v="0"/>
    <s v="Automatic"/>
    <d v="2025-10-12T00:00:00"/>
    <d v="2025-11-08T00:00:00"/>
    <n v="1538474"/>
    <n v="49162"/>
    <n v="1489312"/>
    <x v="2"/>
    <x v="1"/>
    <s v="No"/>
    <s v="No"/>
    <n v="3.1"/>
    <x v="0"/>
    <n v="11"/>
    <s v="November"/>
  </r>
  <r>
    <s v="C0400"/>
    <s v="Rahul Sharma"/>
    <n v="24"/>
    <x v="0"/>
    <x v="1"/>
    <s v="Tamil Nadu"/>
    <s v="Mahindra"/>
    <x v="2"/>
    <x v="3"/>
    <x v="0"/>
    <s v="Manual"/>
    <d v="2025-09-15T00:00:00"/>
    <d v="2025-10-25T00:00:00"/>
    <n v="1490591"/>
    <n v="60553"/>
    <n v="1430038"/>
    <x v="2"/>
    <x v="1"/>
    <s v="No"/>
    <s v="No"/>
    <n v="4.0999999999999996"/>
    <x v="0"/>
    <n v="10"/>
    <s v="October"/>
  </r>
  <r>
    <s v="C0401"/>
    <s v="Arjun Kumar"/>
    <n v="46"/>
    <x v="0"/>
    <x v="2"/>
    <s v="Tamil Nadu"/>
    <s v="Mahindra"/>
    <x v="0"/>
    <x v="4"/>
    <x v="0"/>
    <s v="Manual"/>
    <d v="2025-08-25T00:00:00"/>
    <d v="2025-10-02T00:00:00"/>
    <n v="1381737"/>
    <n v="62675"/>
    <n v="1319062"/>
    <x v="1"/>
    <x v="3"/>
    <s v="No"/>
    <s v="No"/>
    <n v="3.6"/>
    <x v="0"/>
    <n v="10"/>
    <s v="October"/>
  </r>
  <r>
    <s v="C0402"/>
    <s v="Sneha Patel"/>
    <n v="55"/>
    <x v="0"/>
    <x v="1"/>
    <s v="Tamil Nadu"/>
    <s v="Mahindra"/>
    <x v="0"/>
    <x v="1"/>
    <x v="0"/>
    <s v="Automatic"/>
    <d v="2025-09-29T00:00:00"/>
    <d v="2025-11-12T00:00:00"/>
    <n v="1751291"/>
    <n v="85272"/>
    <n v="1666019"/>
    <x v="4"/>
    <x v="2"/>
    <s v="Yes"/>
    <s v="Yes"/>
    <n v="4.7"/>
    <x v="0"/>
    <n v="11"/>
    <s v="November"/>
  </r>
  <r>
    <s v="C0403"/>
    <s v="Rohit Singh"/>
    <n v="44"/>
    <x v="1"/>
    <x v="3"/>
    <s v="Maharashtra"/>
    <s v="Mahindra"/>
    <x v="1"/>
    <x v="4"/>
    <x v="1"/>
    <s v="Automatic"/>
    <d v="2025-10-15T00:00:00"/>
    <d v="2025-10-23T00:00:00"/>
    <n v="1609095"/>
    <n v="97160"/>
    <n v="1511935"/>
    <x v="3"/>
    <x v="3"/>
    <s v="No"/>
    <s v="Yes"/>
    <n v="3.9"/>
    <x v="2"/>
    <n v="10"/>
    <s v="October"/>
  </r>
  <r>
    <s v="C0404"/>
    <s v="Pooja Das"/>
    <n v="34"/>
    <x v="0"/>
    <x v="4"/>
    <s v="Karnataka"/>
    <s v="Mahindra"/>
    <x v="2"/>
    <x v="3"/>
    <x v="0"/>
    <s v="Automatic"/>
    <d v="2026-01-07T00:00:00"/>
    <d v="2026-01-27T00:00:00"/>
    <n v="1495288"/>
    <n v="73145"/>
    <n v="1422143"/>
    <x v="1"/>
    <x v="4"/>
    <s v="Yes"/>
    <s v="Yes"/>
    <n v="3.7"/>
    <x v="1"/>
    <n v="1"/>
    <s v="January"/>
  </r>
  <r>
    <s v="C0405"/>
    <s v="Meera Iyer"/>
    <n v="33"/>
    <x v="0"/>
    <x v="5"/>
    <s v="Tamil Nadu"/>
    <s v="Mahindra"/>
    <x v="1"/>
    <x v="2"/>
    <x v="1"/>
    <s v="Automatic"/>
    <d v="2025-01-08T00:00:00"/>
    <d v="2025-02-01T00:00:00"/>
    <n v="1509946"/>
    <n v="29245"/>
    <n v="1480701"/>
    <x v="2"/>
    <x v="4"/>
    <s v="Yes"/>
    <s v="Yes"/>
    <n v="4.0999999999999996"/>
    <x v="0"/>
    <n v="2"/>
    <s v="February"/>
  </r>
  <r>
    <s v="C0406"/>
    <s v="Sneha Patel"/>
    <n v="24"/>
    <x v="1"/>
    <x v="2"/>
    <s v="Tamil Nadu"/>
    <s v="Mahindra"/>
    <x v="2"/>
    <x v="4"/>
    <x v="0"/>
    <s v="Automatic"/>
    <d v="2025-03-12T00:00:00"/>
    <d v="2025-03-31T00:00:00"/>
    <n v="1493825"/>
    <n v="66374"/>
    <n v="1427451"/>
    <x v="4"/>
    <x v="1"/>
    <s v="Yes"/>
    <s v="No"/>
    <n v="4.5999999999999996"/>
    <x v="1"/>
    <n v="3"/>
    <s v="March"/>
  </r>
  <r>
    <s v="C0407"/>
    <s v="Meera Iyer"/>
    <n v="27"/>
    <x v="1"/>
    <x v="1"/>
    <s v="Tamil Nadu"/>
    <s v="Mahindra"/>
    <x v="1"/>
    <x v="0"/>
    <x v="0"/>
    <s v="Manual"/>
    <d v="2025-02-24T00:00:00"/>
    <d v="2025-04-02T00:00:00"/>
    <n v="1428004"/>
    <n v="61112"/>
    <n v="1366892"/>
    <x v="0"/>
    <x v="4"/>
    <s v="Yes"/>
    <s v="Yes"/>
    <n v="5"/>
    <x v="0"/>
    <n v="4"/>
    <s v="April"/>
  </r>
  <r>
    <s v="C0408"/>
    <s v="Sneha Patel"/>
    <n v="45"/>
    <x v="1"/>
    <x v="4"/>
    <s v="Karnataka"/>
    <s v="Mahindra"/>
    <x v="2"/>
    <x v="3"/>
    <x v="0"/>
    <s v="Automatic"/>
    <d v="2026-05-18T00:00:00"/>
    <d v="2026-06-08T00:00:00"/>
    <n v="1648093"/>
    <n v="38311"/>
    <n v="1609782"/>
    <x v="2"/>
    <x v="3"/>
    <s v="Yes"/>
    <s v="No"/>
    <n v="4.3"/>
    <x v="0"/>
    <n v="6"/>
    <s v="June"/>
  </r>
  <r>
    <s v="C0409"/>
    <s v="Karthik S"/>
    <n v="33"/>
    <x v="0"/>
    <x v="1"/>
    <s v="Tamil Nadu"/>
    <s v="Mahindra"/>
    <x v="0"/>
    <x v="2"/>
    <x v="0"/>
    <s v="Automatic"/>
    <d v="2025-07-15T00:00:00"/>
    <d v="2025-08-19T00:00:00"/>
    <n v="1374246"/>
    <n v="64931"/>
    <n v="1309315"/>
    <x v="2"/>
    <x v="1"/>
    <s v="Yes"/>
    <s v="Yes"/>
    <n v="4.3"/>
    <x v="0"/>
    <n v="8"/>
    <s v="August"/>
  </r>
  <r>
    <s v="C0410"/>
    <s v="Pooja Das"/>
    <n v="59"/>
    <x v="1"/>
    <x v="2"/>
    <s v="Tamil Nadu"/>
    <s v="Mahindra"/>
    <x v="2"/>
    <x v="3"/>
    <x v="0"/>
    <s v="Automatic"/>
    <d v="2025-07-16T00:00:00"/>
    <d v="2025-07-31T00:00:00"/>
    <n v="1668799"/>
    <n v="11142"/>
    <n v="1657657"/>
    <x v="3"/>
    <x v="1"/>
    <s v="Yes"/>
    <s v="No"/>
    <n v="3.5"/>
    <x v="1"/>
    <n v="7"/>
    <s v="July"/>
  </r>
  <r>
    <s v="C0411"/>
    <s v="Pooja Das"/>
    <n v="49"/>
    <x v="0"/>
    <x v="4"/>
    <s v="Karnataka"/>
    <s v="Mahindra"/>
    <x v="2"/>
    <x v="1"/>
    <x v="1"/>
    <s v="Automatic"/>
    <d v="2025-01-02T00:00:00"/>
    <d v="2025-01-28T00:00:00"/>
    <n v="1643694"/>
    <n v="65065"/>
    <n v="1578629"/>
    <x v="4"/>
    <x v="2"/>
    <s v="No"/>
    <s v="Yes"/>
    <n v="3.5"/>
    <x v="0"/>
    <n v="1"/>
    <s v="January"/>
  </r>
  <r>
    <s v="C0412"/>
    <s v="Arjun Kumar"/>
    <n v="40"/>
    <x v="1"/>
    <x v="5"/>
    <s v="Tamil Nadu"/>
    <s v="Mahindra"/>
    <x v="1"/>
    <x v="1"/>
    <x v="0"/>
    <s v="Automatic"/>
    <d v="2025-02-10T00:00:00"/>
    <d v="2025-03-19T00:00:00"/>
    <n v="1313767"/>
    <n v="57842"/>
    <n v="1255925"/>
    <x v="2"/>
    <x v="0"/>
    <s v="No"/>
    <s v="Yes"/>
    <n v="5"/>
    <x v="0"/>
    <n v="3"/>
    <s v="March"/>
  </r>
  <r>
    <s v="C0413"/>
    <s v="Anjali Verma"/>
    <n v="36"/>
    <x v="1"/>
    <x v="5"/>
    <s v="Tamil Nadu"/>
    <s v="Mahindra"/>
    <x v="1"/>
    <x v="1"/>
    <x v="0"/>
    <s v="Manual"/>
    <d v="2025-05-12T00:00:00"/>
    <d v="2025-06-10T00:00:00"/>
    <n v="1597643"/>
    <n v="43267"/>
    <n v="1554376"/>
    <x v="0"/>
    <x v="3"/>
    <s v="No"/>
    <s v="Yes"/>
    <n v="4.4000000000000004"/>
    <x v="0"/>
    <n v="6"/>
    <s v="June"/>
  </r>
  <r>
    <s v="C0414"/>
    <s v="Priya Nair"/>
    <n v="27"/>
    <x v="1"/>
    <x v="0"/>
    <s v="Telangana"/>
    <s v="Mahindra"/>
    <x v="2"/>
    <x v="1"/>
    <x v="1"/>
    <s v="Automatic"/>
    <d v="2025-08-25T00:00:00"/>
    <d v="2025-10-01T00:00:00"/>
    <n v="1707854"/>
    <n v="68845"/>
    <n v="1639009"/>
    <x v="1"/>
    <x v="0"/>
    <s v="Yes"/>
    <s v="No"/>
    <n v="4.4000000000000004"/>
    <x v="0"/>
    <n v="10"/>
    <s v="October"/>
  </r>
  <r>
    <s v="C0415"/>
    <s v="Rahul Sharma"/>
    <n v="30"/>
    <x v="0"/>
    <x v="5"/>
    <s v="Tamil Nadu"/>
    <s v="Mahindra"/>
    <x v="0"/>
    <x v="4"/>
    <x v="0"/>
    <s v="Automatic"/>
    <d v="2025-11-27T00:00:00"/>
    <d v="2025-12-19T00:00:00"/>
    <n v="1401308"/>
    <n v="12563"/>
    <n v="1388745"/>
    <x v="4"/>
    <x v="1"/>
    <s v="Yes"/>
    <s v="No"/>
    <n v="3.9"/>
    <x v="0"/>
    <n v="12"/>
    <s v="December"/>
  </r>
  <r>
    <s v="C0416"/>
    <s v="Sneha Patel"/>
    <n v="56"/>
    <x v="0"/>
    <x v="4"/>
    <s v="Karnataka"/>
    <s v="Mahindra"/>
    <x v="0"/>
    <x v="4"/>
    <x v="1"/>
    <s v="Manual"/>
    <d v="2025-04-25T00:00:00"/>
    <d v="2025-05-12T00:00:00"/>
    <n v="1599733"/>
    <n v="93013"/>
    <n v="1506720"/>
    <x v="0"/>
    <x v="3"/>
    <s v="Yes"/>
    <s v="No"/>
    <n v="3"/>
    <x v="1"/>
    <n v="5"/>
    <s v="May"/>
  </r>
  <r>
    <s v="C0417"/>
    <s v="Priya Nair"/>
    <n v="59"/>
    <x v="0"/>
    <x v="1"/>
    <s v="Tamil Nadu"/>
    <s v="Mahindra"/>
    <x v="0"/>
    <x v="1"/>
    <x v="1"/>
    <s v="Manual"/>
    <d v="2025-08-30T00:00:00"/>
    <d v="2025-10-09T00:00:00"/>
    <n v="1787562"/>
    <n v="76322"/>
    <n v="1711240"/>
    <x v="2"/>
    <x v="2"/>
    <s v="No"/>
    <s v="Yes"/>
    <n v="4"/>
    <x v="0"/>
    <n v="10"/>
    <s v="October"/>
  </r>
  <r>
    <s v="C0418"/>
    <s v="Sneha Patel"/>
    <n v="59"/>
    <x v="0"/>
    <x v="5"/>
    <s v="Tamil Nadu"/>
    <s v="Mahindra"/>
    <x v="2"/>
    <x v="2"/>
    <x v="0"/>
    <s v="Automatic"/>
    <d v="2025-06-10T00:00:00"/>
    <d v="2025-07-09T00:00:00"/>
    <n v="1838648"/>
    <n v="22768"/>
    <n v="1815880"/>
    <x v="2"/>
    <x v="2"/>
    <s v="Yes"/>
    <s v="Yes"/>
    <n v="3.9"/>
    <x v="0"/>
    <n v="7"/>
    <s v="July"/>
  </r>
  <r>
    <s v="C0419"/>
    <s v="Meera Iyer"/>
    <n v="60"/>
    <x v="0"/>
    <x v="3"/>
    <s v="Maharashtra"/>
    <s v="Mahindra"/>
    <x v="1"/>
    <x v="2"/>
    <x v="1"/>
    <s v="Manual"/>
    <d v="2025-01-24T00:00:00"/>
    <d v="2025-03-07T00:00:00"/>
    <n v="1851043"/>
    <n v="80191"/>
    <n v="1770852"/>
    <x v="2"/>
    <x v="2"/>
    <s v="Yes"/>
    <s v="No"/>
    <n v="3.5"/>
    <x v="0"/>
    <n v="3"/>
    <s v="March"/>
  </r>
  <r>
    <s v="C0420"/>
    <s v="Priya Nair"/>
    <n v="24"/>
    <x v="0"/>
    <x v="4"/>
    <s v="Karnataka"/>
    <s v="Mahindra"/>
    <x v="0"/>
    <x v="3"/>
    <x v="1"/>
    <s v="Manual"/>
    <d v="2025-09-19T00:00:00"/>
    <d v="2025-10-11T00:00:00"/>
    <n v="1560621"/>
    <n v="47537"/>
    <n v="1513084"/>
    <x v="1"/>
    <x v="4"/>
    <s v="No"/>
    <s v="No"/>
    <n v="3.2"/>
    <x v="0"/>
    <n v="10"/>
    <s v="October"/>
  </r>
  <r>
    <s v="C0421"/>
    <s v="Meera Iyer"/>
    <n v="25"/>
    <x v="0"/>
    <x v="0"/>
    <s v="Telangana"/>
    <s v="Mahindra"/>
    <x v="0"/>
    <x v="0"/>
    <x v="0"/>
    <s v="Manual"/>
    <d v="2026-04-22T00:00:00"/>
    <d v="2026-06-02T00:00:00"/>
    <n v="1641940"/>
    <n v="18956"/>
    <n v="1622984"/>
    <x v="0"/>
    <x v="1"/>
    <s v="Yes"/>
    <s v="No"/>
    <n v="3.2"/>
    <x v="0"/>
    <n v="6"/>
    <s v="June"/>
  </r>
  <r>
    <s v="C0422"/>
    <s v="Pooja Das"/>
    <n v="56"/>
    <x v="0"/>
    <x v="0"/>
    <s v="Telangana"/>
    <s v="Mahindra"/>
    <x v="0"/>
    <x v="0"/>
    <x v="1"/>
    <s v="Automatic"/>
    <d v="2025-12-16T00:00:00"/>
    <d v="2026-01-11T00:00:00"/>
    <n v="1596252"/>
    <n v="47411"/>
    <n v="1548841"/>
    <x v="1"/>
    <x v="1"/>
    <s v="Yes"/>
    <s v="Yes"/>
    <n v="3.4"/>
    <x v="0"/>
    <n v="1"/>
    <s v="January"/>
  </r>
  <r>
    <s v="C0423"/>
    <s v="Arjun Kumar"/>
    <n v="36"/>
    <x v="1"/>
    <x v="1"/>
    <s v="Tamil Nadu"/>
    <s v="Mahindra"/>
    <x v="0"/>
    <x v="0"/>
    <x v="0"/>
    <s v="Manual"/>
    <d v="2025-04-28T00:00:00"/>
    <d v="2025-05-16T00:00:00"/>
    <n v="1578919"/>
    <n v="82163"/>
    <n v="1496756"/>
    <x v="0"/>
    <x v="1"/>
    <s v="No"/>
    <s v="No"/>
    <n v="3.4"/>
    <x v="1"/>
    <n v="5"/>
    <s v="May"/>
  </r>
  <r>
    <s v="C0424"/>
    <s v="Priya Nair"/>
    <n v="40"/>
    <x v="0"/>
    <x v="5"/>
    <s v="Tamil Nadu"/>
    <s v="Mahindra"/>
    <x v="1"/>
    <x v="3"/>
    <x v="0"/>
    <s v="Manual"/>
    <d v="2026-02-06T00:00:00"/>
    <d v="2026-02-20T00:00:00"/>
    <n v="1445119"/>
    <n v="29883"/>
    <n v="1415236"/>
    <x v="2"/>
    <x v="3"/>
    <s v="No"/>
    <s v="Yes"/>
    <n v="3.2"/>
    <x v="1"/>
    <n v="2"/>
    <s v="February"/>
  </r>
  <r>
    <s v="C0425"/>
    <s v="Arjun Kumar"/>
    <n v="23"/>
    <x v="1"/>
    <x v="2"/>
    <s v="Tamil Nadu"/>
    <s v="Mahindra"/>
    <x v="0"/>
    <x v="4"/>
    <x v="1"/>
    <s v="Automatic"/>
    <d v="2025-03-28T00:00:00"/>
    <d v="2025-05-06T00:00:00"/>
    <n v="1420057"/>
    <n v="76859"/>
    <n v="1343198"/>
    <x v="4"/>
    <x v="3"/>
    <s v="No"/>
    <s v="Yes"/>
    <n v="3.3"/>
    <x v="0"/>
    <n v="5"/>
    <s v="May"/>
  </r>
  <r>
    <s v="C0426"/>
    <s v="Rahul Sharma"/>
    <n v="40"/>
    <x v="1"/>
    <x v="5"/>
    <s v="Tamil Nadu"/>
    <s v="Mahindra"/>
    <x v="2"/>
    <x v="3"/>
    <x v="1"/>
    <s v="Manual"/>
    <d v="2025-03-16T00:00:00"/>
    <d v="2025-03-26T00:00:00"/>
    <n v="1332362"/>
    <n v="80925"/>
    <n v="1251437"/>
    <x v="3"/>
    <x v="2"/>
    <s v="No"/>
    <s v="Yes"/>
    <n v="3.2"/>
    <x v="2"/>
    <n v="3"/>
    <s v="March"/>
  </r>
  <r>
    <s v="C0427"/>
    <s v="Priya Nair"/>
    <n v="44"/>
    <x v="1"/>
    <x v="3"/>
    <s v="Maharashtra"/>
    <s v="Mahindra"/>
    <x v="0"/>
    <x v="3"/>
    <x v="1"/>
    <s v="Automatic"/>
    <d v="2025-11-08T00:00:00"/>
    <d v="2025-11-18T00:00:00"/>
    <n v="1561288"/>
    <n v="99011"/>
    <n v="1462277"/>
    <x v="1"/>
    <x v="2"/>
    <s v="No"/>
    <s v="Yes"/>
    <n v="3.6"/>
    <x v="2"/>
    <n v="11"/>
    <s v="November"/>
  </r>
  <r>
    <s v="C0428"/>
    <s v="Rohit Singh"/>
    <n v="33"/>
    <x v="1"/>
    <x v="2"/>
    <s v="Tamil Nadu"/>
    <s v="Mahindra"/>
    <x v="1"/>
    <x v="0"/>
    <x v="0"/>
    <s v="Automatic"/>
    <d v="2025-11-29T00:00:00"/>
    <d v="2026-01-10T00:00:00"/>
    <n v="1362737"/>
    <n v="59270"/>
    <n v="1303467"/>
    <x v="3"/>
    <x v="4"/>
    <s v="Yes"/>
    <s v="Yes"/>
    <n v="5"/>
    <x v="0"/>
    <n v="1"/>
    <s v="January"/>
  </r>
  <r>
    <s v="C0429"/>
    <s v="Meera Iyer"/>
    <n v="51"/>
    <x v="0"/>
    <x v="0"/>
    <s v="Telangana"/>
    <s v="Mahindra"/>
    <x v="0"/>
    <x v="3"/>
    <x v="1"/>
    <s v="Manual"/>
    <d v="2025-10-08T00:00:00"/>
    <d v="2025-11-09T00:00:00"/>
    <n v="1655330"/>
    <n v="21895"/>
    <n v="1633435"/>
    <x v="2"/>
    <x v="3"/>
    <s v="No"/>
    <s v="Yes"/>
    <n v="4.8"/>
    <x v="0"/>
    <n v="11"/>
    <s v="November"/>
  </r>
  <r>
    <s v="C0430"/>
    <s v="Vikram Rao"/>
    <n v="42"/>
    <x v="1"/>
    <x v="5"/>
    <s v="Tamil Nadu"/>
    <s v="Mahindra"/>
    <x v="1"/>
    <x v="4"/>
    <x v="1"/>
    <s v="Automatic"/>
    <d v="2025-12-20T00:00:00"/>
    <d v="2026-01-30T00:00:00"/>
    <n v="1383769"/>
    <n v="37461"/>
    <n v="1346308"/>
    <x v="0"/>
    <x v="1"/>
    <s v="No"/>
    <s v="Yes"/>
    <n v="3.2"/>
    <x v="0"/>
    <n v="1"/>
    <s v="January"/>
  </r>
  <r>
    <s v="C0431"/>
    <s v="Meera Iyer"/>
    <n v="60"/>
    <x v="1"/>
    <x v="3"/>
    <s v="Maharashtra"/>
    <s v="Mahindra"/>
    <x v="0"/>
    <x v="4"/>
    <x v="0"/>
    <s v="Automatic"/>
    <d v="2025-11-06T00:00:00"/>
    <d v="2025-12-05T00:00:00"/>
    <n v="1743284"/>
    <n v="83571"/>
    <n v="1659713"/>
    <x v="0"/>
    <x v="2"/>
    <s v="No"/>
    <s v="No"/>
    <n v="4.5999999999999996"/>
    <x v="0"/>
    <n v="12"/>
    <s v="December"/>
  </r>
  <r>
    <s v="C0432"/>
    <s v="Meera Iyer"/>
    <n v="56"/>
    <x v="0"/>
    <x v="3"/>
    <s v="Maharashtra"/>
    <s v="Mahindra"/>
    <x v="2"/>
    <x v="2"/>
    <x v="0"/>
    <s v="Manual"/>
    <d v="2025-01-14T00:00:00"/>
    <d v="2025-02-07T00:00:00"/>
    <n v="1535671"/>
    <n v="29996"/>
    <n v="1505675"/>
    <x v="3"/>
    <x v="2"/>
    <s v="No"/>
    <s v="Yes"/>
    <n v="3.9"/>
    <x v="0"/>
    <n v="2"/>
    <s v="February"/>
  </r>
  <r>
    <s v="C0433"/>
    <s v="Rahul Sharma"/>
    <n v="60"/>
    <x v="1"/>
    <x v="1"/>
    <s v="Tamil Nadu"/>
    <s v="Mahindra"/>
    <x v="0"/>
    <x v="3"/>
    <x v="0"/>
    <s v="Automatic"/>
    <d v="2026-03-19T00:00:00"/>
    <d v="2026-04-25T00:00:00"/>
    <n v="1439539"/>
    <n v="36182"/>
    <n v="1403357"/>
    <x v="4"/>
    <x v="0"/>
    <s v="Yes"/>
    <s v="Yes"/>
    <n v="4.2"/>
    <x v="0"/>
    <n v="4"/>
    <s v="April"/>
  </r>
  <r>
    <s v="C0434"/>
    <s v="Meera Iyer"/>
    <n v="41"/>
    <x v="0"/>
    <x v="2"/>
    <s v="Tamil Nadu"/>
    <s v="Mahindra"/>
    <x v="1"/>
    <x v="2"/>
    <x v="1"/>
    <s v="Manual"/>
    <d v="2025-12-20T00:00:00"/>
    <d v="2026-02-02T00:00:00"/>
    <n v="1834873"/>
    <n v="46772"/>
    <n v="1788101"/>
    <x v="4"/>
    <x v="3"/>
    <s v="No"/>
    <s v="No"/>
    <n v="3.8"/>
    <x v="0"/>
    <n v="2"/>
    <s v="February"/>
  </r>
  <r>
    <s v="C0435"/>
    <s v="Arjun Kumar"/>
    <n v="40"/>
    <x v="0"/>
    <x v="0"/>
    <s v="Telangana"/>
    <s v="Mahindra"/>
    <x v="1"/>
    <x v="3"/>
    <x v="1"/>
    <s v="Manual"/>
    <d v="2025-06-22T00:00:00"/>
    <d v="2025-07-09T00:00:00"/>
    <n v="1764429"/>
    <n v="48835"/>
    <n v="1715594"/>
    <x v="4"/>
    <x v="1"/>
    <s v="Yes"/>
    <s v="Yes"/>
    <n v="4.0999999999999996"/>
    <x v="1"/>
    <n v="7"/>
    <s v="July"/>
  </r>
  <r>
    <s v="C0436"/>
    <s v="Anjali Verma"/>
    <n v="21"/>
    <x v="0"/>
    <x v="0"/>
    <s v="Telangana"/>
    <s v="Mahindra"/>
    <x v="0"/>
    <x v="2"/>
    <x v="0"/>
    <s v="Automatic"/>
    <d v="2026-01-24T00:00:00"/>
    <d v="2026-01-31T00:00:00"/>
    <n v="1818004"/>
    <n v="39835"/>
    <n v="1778169"/>
    <x v="1"/>
    <x v="3"/>
    <s v="No"/>
    <s v="Yes"/>
    <n v="4.3"/>
    <x v="2"/>
    <n v="1"/>
    <s v="January"/>
  </r>
  <r>
    <s v="C0437"/>
    <s v="Rahul Sharma"/>
    <n v="29"/>
    <x v="1"/>
    <x v="2"/>
    <s v="Tamil Nadu"/>
    <s v="Mahindra"/>
    <x v="1"/>
    <x v="4"/>
    <x v="0"/>
    <s v="Manual"/>
    <d v="2025-02-28T00:00:00"/>
    <d v="2025-03-27T00:00:00"/>
    <n v="1560950"/>
    <n v="19522"/>
    <n v="1541428"/>
    <x v="1"/>
    <x v="0"/>
    <s v="No"/>
    <s v="Yes"/>
    <n v="4"/>
    <x v="0"/>
    <n v="3"/>
    <s v="March"/>
  </r>
  <r>
    <s v="C0438"/>
    <s v="Karthik S"/>
    <n v="34"/>
    <x v="0"/>
    <x v="0"/>
    <s v="Telangana"/>
    <s v="Mahindra"/>
    <x v="1"/>
    <x v="4"/>
    <x v="0"/>
    <s v="Automatic"/>
    <d v="2026-01-18T00:00:00"/>
    <d v="2026-02-18T00:00:00"/>
    <n v="1590226"/>
    <n v="49984"/>
    <n v="1540242"/>
    <x v="0"/>
    <x v="4"/>
    <s v="Yes"/>
    <s v="Yes"/>
    <n v="3.7"/>
    <x v="0"/>
    <n v="2"/>
    <s v="February"/>
  </r>
  <r>
    <s v="C0439"/>
    <s v="Anjali Verma"/>
    <n v="24"/>
    <x v="0"/>
    <x v="5"/>
    <s v="Tamil Nadu"/>
    <s v="Mahindra"/>
    <x v="1"/>
    <x v="0"/>
    <x v="1"/>
    <s v="Manual"/>
    <d v="2025-11-15T00:00:00"/>
    <d v="2025-12-25T00:00:00"/>
    <n v="1670868"/>
    <n v="89189"/>
    <n v="1581679"/>
    <x v="1"/>
    <x v="0"/>
    <s v="Yes"/>
    <s v="No"/>
    <n v="4.0999999999999996"/>
    <x v="0"/>
    <n v="12"/>
    <s v="December"/>
  </r>
  <r>
    <s v="C0440"/>
    <s v="Vikram Rao"/>
    <n v="28"/>
    <x v="1"/>
    <x v="3"/>
    <s v="Maharashtra"/>
    <s v="Mahindra"/>
    <x v="2"/>
    <x v="2"/>
    <x v="0"/>
    <s v="Automatic"/>
    <d v="2025-01-08T00:00:00"/>
    <d v="2025-01-20T00:00:00"/>
    <n v="1327340"/>
    <n v="72331"/>
    <n v="1255009"/>
    <x v="4"/>
    <x v="2"/>
    <s v="Yes"/>
    <s v="Yes"/>
    <n v="3.6"/>
    <x v="1"/>
    <n v="1"/>
    <s v="January"/>
  </r>
  <r>
    <s v="C0441"/>
    <s v="Vikram Rao"/>
    <n v="60"/>
    <x v="0"/>
    <x v="2"/>
    <s v="Tamil Nadu"/>
    <s v="Mahindra"/>
    <x v="1"/>
    <x v="1"/>
    <x v="0"/>
    <s v="Manual"/>
    <d v="2026-02-24T00:00:00"/>
    <d v="2026-03-19T00:00:00"/>
    <n v="1502417"/>
    <n v="82709"/>
    <n v="1419708"/>
    <x v="4"/>
    <x v="3"/>
    <s v="Yes"/>
    <s v="Yes"/>
    <n v="3"/>
    <x v="0"/>
    <n v="3"/>
    <s v="March"/>
  </r>
  <r>
    <s v="C0442"/>
    <s v="Priya Nair"/>
    <n v="31"/>
    <x v="1"/>
    <x v="2"/>
    <s v="Tamil Nadu"/>
    <s v="Mahindra"/>
    <x v="1"/>
    <x v="2"/>
    <x v="1"/>
    <s v="Automatic"/>
    <d v="2025-08-08T00:00:00"/>
    <d v="2025-08-26T00:00:00"/>
    <n v="1305172"/>
    <n v="73214"/>
    <n v="1231958"/>
    <x v="2"/>
    <x v="3"/>
    <s v="No"/>
    <s v="No"/>
    <n v="4.0999999999999996"/>
    <x v="1"/>
    <n v="8"/>
    <s v="August"/>
  </r>
  <r>
    <s v="C0443"/>
    <s v="Priya Nair"/>
    <n v="50"/>
    <x v="0"/>
    <x v="4"/>
    <s v="Karnataka"/>
    <s v="Mahindra"/>
    <x v="1"/>
    <x v="4"/>
    <x v="0"/>
    <s v="Automatic"/>
    <d v="2025-01-01T00:00:00"/>
    <d v="2025-02-13T00:00:00"/>
    <n v="1412035"/>
    <n v="48742"/>
    <n v="1363293"/>
    <x v="0"/>
    <x v="4"/>
    <s v="Yes"/>
    <s v="Yes"/>
    <n v="4.5"/>
    <x v="0"/>
    <n v="2"/>
    <s v="February"/>
  </r>
  <r>
    <s v="C0444"/>
    <s v="Arjun Kumar"/>
    <n v="57"/>
    <x v="1"/>
    <x v="4"/>
    <s v="Karnataka"/>
    <s v="Mahindra"/>
    <x v="2"/>
    <x v="3"/>
    <x v="1"/>
    <s v="Manual"/>
    <d v="2026-05-03T00:00:00"/>
    <d v="2026-06-06T00:00:00"/>
    <n v="1816160"/>
    <n v="24919"/>
    <n v="1791241"/>
    <x v="0"/>
    <x v="1"/>
    <s v="Yes"/>
    <s v="No"/>
    <n v="4"/>
    <x v="0"/>
    <n v="6"/>
    <s v="June"/>
  </r>
  <r>
    <s v="C0445"/>
    <s v="Rohit Singh"/>
    <n v="34"/>
    <x v="0"/>
    <x v="5"/>
    <s v="Tamil Nadu"/>
    <s v="Mahindra"/>
    <x v="0"/>
    <x v="3"/>
    <x v="1"/>
    <s v="Automatic"/>
    <d v="2025-09-30T00:00:00"/>
    <d v="2025-10-18T00:00:00"/>
    <n v="1498837"/>
    <n v="82086"/>
    <n v="1416751"/>
    <x v="1"/>
    <x v="0"/>
    <s v="Yes"/>
    <s v="No"/>
    <n v="3.4"/>
    <x v="1"/>
    <n v="10"/>
    <s v="October"/>
  </r>
  <r>
    <s v="C0446"/>
    <s v="Priya Nair"/>
    <n v="45"/>
    <x v="0"/>
    <x v="1"/>
    <s v="Tamil Nadu"/>
    <s v="Mahindra"/>
    <x v="1"/>
    <x v="0"/>
    <x v="1"/>
    <s v="Manual"/>
    <d v="2025-07-24T00:00:00"/>
    <d v="2025-08-25T00:00:00"/>
    <n v="1835690"/>
    <n v="22712"/>
    <n v="1812978"/>
    <x v="1"/>
    <x v="3"/>
    <s v="Yes"/>
    <s v="Yes"/>
    <n v="3.9"/>
    <x v="0"/>
    <n v="8"/>
    <s v="August"/>
  </r>
  <r>
    <s v="C0447"/>
    <s v="Rohit Singh"/>
    <n v="57"/>
    <x v="1"/>
    <x v="1"/>
    <s v="Tamil Nadu"/>
    <s v="Mahindra"/>
    <x v="1"/>
    <x v="0"/>
    <x v="1"/>
    <s v="Automatic"/>
    <d v="2025-01-14T00:00:00"/>
    <d v="2025-02-28T00:00:00"/>
    <n v="1768231"/>
    <n v="56875"/>
    <n v="1711356"/>
    <x v="1"/>
    <x v="4"/>
    <s v="Yes"/>
    <s v="Yes"/>
    <n v="4"/>
    <x v="0"/>
    <n v="2"/>
    <s v="February"/>
  </r>
  <r>
    <s v="C0448"/>
    <s v="Rohit Singh"/>
    <n v="60"/>
    <x v="1"/>
    <x v="5"/>
    <s v="Tamil Nadu"/>
    <s v="Mahindra"/>
    <x v="0"/>
    <x v="0"/>
    <x v="0"/>
    <s v="Manual"/>
    <d v="2025-09-05T00:00:00"/>
    <d v="2025-10-10T00:00:00"/>
    <n v="1809317"/>
    <n v="19063"/>
    <n v="1790254"/>
    <x v="1"/>
    <x v="4"/>
    <s v="No"/>
    <s v="No"/>
    <n v="3.1"/>
    <x v="0"/>
    <n v="10"/>
    <s v="October"/>
  </r>
  <r>
    <s v="C0449"/>
    <s v="Karthik S"/>
    <n v="39"/>
    <x v="0"/>
    <x v="5"/>
    <s v="Tamil Nadu"/>
    <s v="Mahindra"/>
    <x v="1"/>
    <x v="3"/>
    <x v="1"/>
    <s v="Manual"/>
    <d v="2025-08-19T00:00:00"/>
    <d v="2025-09-03T00:00:00"/>
    <n v="1535156"/>
    <n v="86620"/>
    <n v="1448536"/>
    <x v="0"/>
    <x v="2"/>
    <s v="No"/>
    <s v="Yes"/>
    <n v="3.7"/>
    <x v="1"/>
    <n v="9"/>
    <s v="September"/>
  </r>
  <r>
    <s v="C0450"/>
    <s v="Priya Nair"/>
    <n v="53"/>
    <x v="0"/>
    <x v="4"/>
    <s v="Karnataka"/>
    <s v="Mahindra"/>
    <x v="0"/>
    <x v="2"/>
    <x v="1"/>
    <s v="Automatic"/>
    <d v="2025-09-22T00:00:00"/>
    <d v="2025-10-20T00:00:00"/>
    <n v="1489681"/>
    <n v="26434"/>
    <n v="1463247"/>
    <x v="3"/>
    <x v="4"/>
    <s v="Yes"/>
    <s v="Yes"/>
    <n v="4.2"/>
    <x v="0"/>
    <n v="10"/>
    <s v="October"/>
  </r>
  <r>
    <s v="C0451"/>
    <s v="Anjali Verma"/>
    <n v="55"/>
    <x v="0"/>
    <x v="4"/>
    <s v="Karnataka"/>
    <s v="Mahindra"/>
    <x v="0"/>
    <x v="2"/>
    <x v="0"/>
    <s v="Manual"/>
    <d v="2025-07-26T00:00:00"/>
    <d v="2025-08-21T00:00:00"/>
    <n v="1592628"/>
    <n v="43158"/>
    <n v="1549470"/>
    <x v="4"/>
    <x v="3"/>
    <s v="Yes"/>
    <s v="Yes"/>
    <n v="3.2"/>
    <x v="0"/>
    <n v="8"/>
    <s v="August"/>
  </r>
  <r>
    <s v="C0452"/>
    <s v="Priya Nair"/>
    <n v="43"/>
    <x v="1"/>
    <x v="0"/>
    <s v="Telangana"/>
    <s v="Mahindra"/>
    <x v="2"/>
    <x v="3"/>
    <x v="0"/>
    <s v="Manual"/>
    <d v="2025-08-31T00:00:00"/>
    <d v="2025-09-27T00:00:00"/>
    <n v="1678468"/>
    <n v="11491"/>
    <n v="1666977"/>
    <x v="2"/>
    <x v="4"/>
    <s v="No"/>
    <s v="No"/>
    <n v="4"/>
    <x v="0"/>
    <n v="9"/>
    <s v="September"/>
  </r>
  <r>
    <s v="C0453"/>
    <s v="Anjali Verma"/>
    <n v="31"/>
    <x v="0"/>
    <x v="5"/>
    <s v="Tamil Nadu"/>
    <s v="Mahindra"/>
    <x v="1"/>
    <x v="2"/>
    <x v="1"/>
    <s v="Automatic"/>
    <d v="2025-02-13T00:00:00"/>
    <d v="2025-03-09T00:00:00"/>
    <n v="1764103"/>
    <n v="64015"/>
    <n v="1700088"/>
    <x v="3"/>
    <x v="2"/>
    <s v="No"/>
    <s v="Yes"/>
    <n v="4.3"/>
    <x v="0"/>
    <n v="3"/>
    <s v="March"/>
  </r>
  <r>
    <s v="C0454"/>
    <s v="Arjun Kumar"/>
    <n v="59"/>
    <x v="0"/>
    <x v="4"/>
    <s v="Karnataka"/>
    <s v="Mahindra"/>
    <x v="2"/>
    <x v="2"/>
    <x v="0"/>
    <s v="Automatic"/>
    <d v="2025-05-12T00:00:00"/>
    <d v="2025-06-21T00:00:00"/>
    <n v="1663399"/>
    <n v="34809"/>
    <n v="1628590"/>
    <x v="0"/>
    <x v="4"/>
    <s v="Yes"/>
    <s v="No"/>
    <n v="3.4"/>
    <x v="0"/>
    <n v="6"/>
    <s v="June"/>
  </r>
  <r>
    <s v="C0455"/>
    <s v="Anjali Verma"/>
    <n v="41"/>
    <x v="1"/>
    <x v="5"/>
    <s v="Tamil Nadu"/>
    <s v="Mahindra"/>
    <x v="2"/>
    <x v="4"/>
    <x v="1"/>
    <s v="Automatic"/>
    <d v="2026-01-14T00:00:00"/>
    <d v="2026-02-07T00:00:00"/>
    <n v="1428771"/>
    <n v="49293"/>
    <n v="1379478"/>
    <x v="4"/>
    <x v="3"/>
    <s v="No"/>
    <s v="Yes"/>
    <n v="3.6"/>
    <x v="0"/>
    <n v="2"/>
    <s v="February"/>
  </r>
  <r>
    <s v="C0456"/>
    <s v="Vikram Rao"/>
    <n v="34"/>
    <x v="1"/>
    <x v="2"/>
    <s v="Tamil Nadu"/>
    <s v="Mahindra"/>
    <x v="0"/>
    <x v="0"/>
    <x v="1"/>
    <s v="Automatic"/>
    <d v="2025-04-06T00:00:00"/>
    <d v="2025-04-27T00:00:00"/>
    <n v="1749882"/>
    <n v="46999"/>
    <n v="1702883"/>
    <x v="3"/>
    <x v="3"/>
    <s v="Yes"/>
    <s v="Yes"/>
    <n v="4.5"/>
    <x v="0"/>
    <n v="4"/>
    <s v="April"/>
  </r>
  <r>
    <s v="C0457"/>
    <s v="Sneha Patel"/>
    <n v="26"/>
    <x v="0"/>
    <x v="3"/>
    <s v="Maharashtra"/>
    <s v="Mahindra"/>
    <x v="0"/>
    <x v="4"/>
    <x v="0"/>
    <s v="Automatic"/>
    <d v="2026-02-03T00:00:00"/>
    <d v="2026-03-14T00:00:00"/>
    <n v="1662312"/>
    <n v="34088"/>
    <n v="1628224"/>
    <x v="2"/>
    <x v="0"/>
    <s v="Yes"/>
    <s v="No"/>
    <n v="3.1"/>
    <x v="0"/>
    <n v="3"/>
    <s v="March"/>
  </r>
  <r>
    <s v="C0458"/>
    <s v="Arjun Kumar"/>
    <n v="56"/>
    <x v="1"/>
    <x v="2"/>
    <s v="Tamil Nadu"/>
    <s v="Mahindra"/>
    <x v="0"/>
    <x v="3"/>
    <x v="1"/>
    <s v="Automatic"/>
    <d v="2026-03-09T00:00:00"/>
    <d v="2026-03-22T00:00:00"/>
    <n v="1873943"/>
    <n v="51270"/>
    <n v="1822673"/>
    <x v="4"/>
    <x v="1"/>
    <s v="No"/>
    <s v="Yes"/>
    <n v="3.5"/>
    <x v="1"/>
    <n v="3"/>
    <s v="March"/>
  </r>
  <r>
    <s v="C0459"/>
    <s v="Vikram Rao"/>
    <n v="52"/>
    <x v="0"/>
    <x v="1"/>
    <s v="Tamil Nadu"/>
    <s v="Mahindra"/>
    <x v="0"/>
    <x v="0"/>
    <x v="1"/>
    <s v="Manual"/>
    <d v="2025-12-01T00:00:00"/>
    <d v="2025-12-14T00:00:00"/>
    <n v="1386285"/>
    <n v="82685"/>
    <n v="1303600"/>
    <x v="2"/>
    <x v="1"/>
    <s v="No"/>
    <s v="Yes"/>
    <n v="4.7"/>
    <x v="1"/>
    <n v="12"/>
    <s v="December"/>
  </r>
  <r>
    <s v="C0460"/>
    <s v="Meera Iyer"/>
    <n v="48"/>
    <x v="0"/>
    <x v="1"/>
    <s v="Tamil Nadu"/>
    <s v="Mahindra"/>
    <x v="0"/>
    <x v="4"/>
    <x v="1"/>
    <s v="Manual"/>
    <d v="2025-05-14T00:00:00"/>
    <d v="2025-06-07T00:00:00"/>
    <n v="1519745"/>
    <n v="20762"/>
    <n v="1498983"/>
    <x v="4"/>
    <x v="2"/>
    <s v="No"/>
    <s v="No"/>
    <n v="4.0999999999999996"/>
    <x v="0"/>
    <n v="6"/>
    <s v="June"/>
  </r>
  <r>
    <s v="C0461"/>
    <s v="Pooja Das"/>
    <n v="27"/>
    <x v="1"/>
    <x v="5"/>
    <s v="Tamil Nadu"/>
    <s v="Mahindra"/>
    <x v="0"/>
    <x v="4"/>
    <x v="1"/>
    <s v="Manual"/>
    <d v="2026-02-17T00:00:00"/>
    <d v="2026-03-05T00:00:00"/>
    <n v="1322371"/>
    <n v="20424"/>
    <n v="1301947"/>
    <x v="2"/>
    <x v="2"/>
    <s v="Yes"/>
    <s v="No"/>
    <n v="4.5"/>
    <x v="1"/>
    <n v="3"/>
    <s v="March"/>
  </r>
  <r>
    <s v="C0462"/>
    <s v="Anjali Verma"/>
    <n v="48"/>
    <x v="1"/>
    <x v="3"/>
    <s v="Maharashtra"/>
    <s v="Mahindra"/>
    <x v="1"/>
    <x v="2"/>
    <x v="1"/>
    <s v="Automatic"/>
    <d v="2025-06-13T00:00:00"/>
    <d v="2025-07-27T00:00:00"/>
    <n v="1335490"/>
    <n v="90914"/>
    <n v="1244576"/>
    <x v="1"/>
    <x v="0"/>
    <s v="Yes"/>
    <s v="No"/>
    <n v="3.9"/>
    <x v="0"/>
    <n v="7"/>
    <s v="July"/>
  </r>
  <r>
    <s v="C0463"/>
    <s v="Arjun Kumar"/>
    <n v="37"/>
    <x v="1"/>
    <x v="1"/>
    <s v="Tamil Nadu"/>
    <s v="Mahindra"/>
    <x v="0"/>
    <x v="0"/>
    <x v="0"/>
    <s v="Automatic"/>
    <d v="2025-08-10T00:00:00"/>
    <d v="2025-09-08T00:00:00"/>
    <n v="1828561"/>
    <n v="14153"/>
    <n v="1814408"/>
    <x v="1"/>
    <x v="2"/>
    <s v="Yes"/>
    <s v="Yes"/>
    <n v="3.1"/>
    <x v="0"/>
    <n v="9"/>
    <s v="September"/>
  </r>
  <r>
    <s v="C0464"/>
    <s v="Arjun Kumar"/>
    <n v="22"/>
    <x v="0"/>
    <x v="3"/>
    <s v="Maharashtra"/>
    <s v="Mahindra"/>
    <x v="1"/>
    <x v="3"/>
    <x v="1"/>
    <s v="Manual"/>
    <d v="2026-01-12T00:00:00"/>
    <d v="2026-01-30T00:00:00"/>
    <n v="1360813"/>
    <n v="46834"/>
    <n v="1313979"/>
    <x v="0"/>
    <x v="1"/>
    <s v="No"/>
    <s v="Yes"/>
    <n v="3.4"/>
    <x v="1"/>
    <n v="1"/>
    <s v="January"/>
  </r>
  <r>
    <s v="C0465"/>
    <s v="Karthik S"/>
    <n v="32"/>
    <x v="0"/>
    <x v="0"/>
    <s v="Telangana"/>
    <s v="Mahindra"/>
    <x v="1"/>
    <x v="4"/>
    <x v="0"/>
    <s v="Automatic"/>
    <d v="2025-10-26T00:00:00"/>
    <d v="2025-12-01T00:00:00"/>
    <n v="1570405"/>
    <n v="63380"/>
    <n v="1507025"/>
    <x v="0"/>
    <x v="2"/>
    <s v="Yes"/>
    <s v="Yes"/>
    <n v="3.7"/>
    <x v="0"/>
    <n v="12"/>
    <s v="December"/>
  </r>
  <r>
    <s v="C0466"/>
    <s v="Sneha Patel"/>
    <n v="32"/>
    <x v="1"/>
    <x v="5"/>
    <s v="Tamil Nadu"/>
    <s v="Mahindra"/>
    <x v="0"/>
    <x v="3"/>
    <x v="1"/>
    <s v="Automatic"/>
    <d v="2025-08-03T00:00:00"/>
    <d v="2025-08-13T00:00:00"/>
    <n v="1727147"/>
    <n v="94804"/>
    <n v="1632343"/>
    <x v="2"/>
    <x v="1"/>
    <s v="No"/>
    <s v="No"/>
    <n v="3.6"/>
    <x v="2"/>
    <n v="8"/>
    <s v="August"/>
  </r>
  <r>
    <s v="C0467"/>
    <s v="Arjun Kumar"/>
    <n v="57"/>
    <x v="1"/>
    <x v="4"/>
    <s v="Karnataka"/>
    <s v="Mahindra"/>
    <x v="2"/>
    <x v="1"/>
    <x v="0"/>
    <s v="Automatic"/>
    <d v="2026-04-10T00:00:00"/>
    <d v="2026-05-18T00:00:00"/>
    <n v="1712640"/>
    <n v="87641"/>
    <n v="1624999"/>
    <x v="4"/>
    <x v="1"/>
    <s v="Yes"/>
    <s v="No"/>
    <n v="3.8"/>
    <x v="0"/>
    <n v="5"/>
    <s v="May"/>
  </r>
  <r>
    <s v="C0468"/>
    <s v="Rahul Sharma"/>
    <n v="26"/>
    <x v="1"/>
    <x v="1"/>
    <s v="Tamil Nadu"/>
    <s v="Mahindra"/>
    <x v="1"/>
    <x v="1"/>
    <x v="0"/>
    <s v="Manual"/>
    <d v="2026-01-30T00:00:00"/>
    <d v="2026-02-20T00:00:00"/>
    <n v="1345670"/>
    <n v="83707"/>
    <n v="1261963"/>
    <x v="2"/>
    <x v="2"/>
    <s v="Yes"/>
    <s v="No"/>
    <n v="3.3"/>
    <x v="0"/>
    <n v="2"/>
    <s v="February"/>
  </r>
  <r>
    <s v="C0469"/>
    <s v="Rohit Singh"/>
    <n v="31"/>
    <x v="0"/>
    <x v="1"/>
    <s v="Tamil Nadu"/>
    <s v="Mahindra"/>
    <x v="1"/>
    <x v="3"/>
    <x v="1"/>
    <s v="Manual"/>
    <d v="2025-02-22T00:00:00"/>
    <d v="2025-03-17T00:00:00"/>
    <n v="1346366"/>
    <n v="43589"/>
    <n v="1302777"/>
    <x v="2"/>
    <x v="1"/>
    <s v="Yes"/>
    <s v="Yes"/>
    <n v="4.7"/>
    <x v="0"/>
    <n v="3"/>
    <s v="March"/>
  </r>
  <r>
    <s v="C0470"/>
    <s v="Anjali Verma"/>
    <n v="26"/>
    <x v="0"/>
    <x v="1"/>
    <s v="Tamil Nadu"/>
    <s v="Mahindra"/>
    <x v="0"/>
    <x v="1"/>
    <x v="0"/>
    <s v="Automatic"/>
    <d v="2025-09-17T00:00:00"/>
    <d v="2025-10-23T00:00:00"/>
    <n v="1487218"/>
    <n v="38858"/>
    <n v="1448360"/>
    <x v="1"/>
    <x v="1"/>
    <s v="Yes"/>
    <s v="Yes"/>
    <n v="4.8"/>
    <x v="0"/>
    <n v="10"/>
    <s v="October"/>
  </r>
  <r>
    <s v="C0471"/>
    <s v="Pooja Das"/>
    <n v="25"/>
    <x v="1"/>
    <x v="4"/>
    <s v="Karnataka"/>
    <s v="Mahindra"/>
    <x v="1"/>
    <x v="2"/>
    <x v="1"/>
    <s v="Automatic"/>
    <d v="2026-02-20T00:00:00"/>
    <d v="2026-03-17T00:00:00"/>
    <n v="1896376"/>
    <n v="66892"/>
    <n v="1829484"/>
    <x v="1"/>
    <x v="4"/>
    <s v="Yes"/>
    <s v="Yes"/>
    <n v="3.5"/>
    <x v="0"/>
    <n v="3"/>
    <s v="March"/>
  </r>
  <r>
    <s v="C0472"/>
    <s v="Rahul Sharma"/>
    <n v="38"/>
    <x v="1"/>
    <x v="5"/>
    <s v="Tamil Nadu"/>
    <s v="Mahindra"/>
    <x v="2"/>
    <x v="1"/>
    <x v="0"/>
    <s v="Automatic"/>
    <d v="2025-06-22T00:00:00"/>
    <d v="2025-08-03T00:00:00"/>
    <n v="1496689"/>
    <n v="86696"/>
    <n v="1409993"/>
    <x v="0"/>
    <x v="0"/>
    <s v="Yes"/>
    <s v="Yes"/>
    <n v="5"/>
    <x v="0"/>
    <n v="8"/>
    <s v="August"/>
  </r>
  <r>
    <s v="C0473"/>
    <s v="Meera Iyer"/>
    <n v="59"/>
    <x v="1"/>
    <x v="1"/>
    <s v="Tamil Nadu"/>
    <s v="Mahindra"/>
    <x v="1"/>
    <x v="0"/>
    <x v="0"/>
    <s v="Automatic"/>
    <d v="2025-07-01T00:00:00"/>
    <d v="2025-07-26T00:00:00"/>
    <n v="1656549"/>
    <n v="78421"/>
    <n v="1578128"/>
    <x v="4"/>
    <x v="4"/>
    <s v="No"/>
    <s v="Yes"/>
    <n v="4.7"/>
    <x v="0"/>
    <n v="7"/>
    <s v="July"/>
  </r>
  <r>
    <s v="C0474"/>
    <s v="Rahul Sharma"/>
    <n v="45"/>
    <x v="0"/>
    <x v="1"/>
    <s v="Tamil Nadu"/>
    <s v="Mahindra"/>
    <x v="1"/>
    <x v="2"/>
    <x v="0"/>
    <s v="Manual"/>
    <d v="2025-08-12T00:00:00"/>
    <d v="2025-09-18T00:00:00"/>
    <n v="1455287"/>
    <n v="10767"/>
    <n v="1444520"/>
    <x v="3"/>
    <x v="1"/>
    <s v="No"/>
    <s v="Yes"/>
    <n v="4.5"/>
    <x v="0"/>
    <n v="9"/>
    <s v="September"/>
  </r>
  <r>
    <s v="C0475"/>
    <s v="Pooja Das"/>
    <n v="24"/>
    <x v="1"/>
    <x v="3"/>
    <s v="Maharashtra"/>
    <s v="Mahindra"/>
    <x v="1"/>
    <x v="2"/>
    <x v="1"/>
    <s v="Manual"/>
    <d v="2025-07-06T00:00:00"/>
    <d v="2025-07-19T00:00:00"/>
    <n v="1406030"/>
    <n v="88478"/>
    <n v="1317552"/>
    <x v="3"/>
    <x v="2"/>
    <s v="Yes"/>
    <s v="Yes"/>
    <n v="4.8"/>
    <x v="1"/>
    <n v="7"/>
    <s v="July"/>
  </r>
  <r>
    <s v="C0476"/>
    <s v="Rahul Sharma"/>
    <n v="24"/>
    <x v="1"/>
    <x v="1"/>
    <s v="Tamil Nadu"/>
    <s v="Mahindra"/>
    <x v="0"/>
    <x v="3"/>
    <x v="0"/>
    <s v="Automatic"/>
    <d v="2025-11-20T00:00:00"/>
    <d v="2025-12-19T00:00:00"/>
    <n v="1676101"/>
    <n v="66772"/>
    <n v="1609329"/>
    <x v="4"/>
    <x v="1"/>
    <s v="Yes"/>
    <s v="Yes"/>
    <n v="4.9000000000000004"/>
    <x v="0"/>
    <n v="12"/>
    <s v="December"/>
  </r>
  <r>
    <s v="C0477"/>
    <s v="Vikram Rao"/>
    <n v="51"/>
    <x v="0"/>
    <x v="4"/>
    <s v="Karnataka"/>
    <s v="Mahindra"/>
    <x v="0"/>
    <x v="1"/>
    <x v="0"/>
    <s v="Automatic"/>
    <d v="2026-03-01T00:00:00"/>
    <d v="2026-04-07T00:00:00"/>
    <n v="1884928"/>
    <n v="99189"/>
    <n v="1785739"/>
    <x v="4"/>
    <x v="3"/>
    <s v="Yes"/>
    <s v="No"/>
    <n v="3.2"/>
    <x v="0"/>
    <n v="4"/>
    <s v="April"/>
  </r>
  <r>
    <s v="C0478"/>
    <s v="Sneha Patel"/>
    <n v="22"/>
    <x v="1"/>
    <x v="0"/>
    <s v="Telangana"/>
    <s v="Mahindra"/>
    <x v="1"/>
    <x v="0"/>
    <x v="0"/>
    <s v="Manual"/>
    <d v="2025-03-01T00:00:00"/>
    <d v="2025-04-13T00:00:00"/>
    <n v="1553024"/>
    <n v="73520"/>
    <n v="1479504"/>
    <x v="0"/>
    <x v="4"/>
    <s v="No"/>
    <s v="No"/>
    <n v="3.5"/>
    <x v="0"/>
    <n v="4"/>
    <s v="April"/>
  </r>
  <r>
    <s v="C0479"/>
    <s v="Sneha Patel"/>
    <n v="30"/>
    <x v="0"/>
    <x v="5"/>
    <s v="Tamil Nadu"/>
    <s v="Mahindra"/>
    <x v="1"/>
    <x v="2"/>
    <x v="1"/>
    <s v="Manual"/>
    <d v="2025-01-22T00:00:00"/>
    <d v="2025-02-18T00:00:00"/>
    <n v="1583222"/>
    <n v="88451"/>
    <n v="1494771"/>
    <x v="3"/>
    <x v="3"/>
    <s v="Yes"/>
    <s v="Yes"/>
    <n v="4.7"/>
    <x v="0"/>
    <n v="2"/>
    <s v="February"/>
  </r>
  <r>
    <s v="C0480"/>
    <s v="Arjun Kumar"/>
    <n v="30"/>
    <x v="1"/>
    <x v="1"/>
    <s v="Tamil Nadu"/>
    <s v="Mahindra"/>
    <x v="0"/>
    <x v="2"/>
    <x v="0"/>
    <s v="Automatic"/>
    <d v="2025-03-26T00:00:00"/>
    <d v="2025-05-05T00:00:00"/>
    <n v="1445354"/>
    <n v="96781"/>
    <n v="1348573"/>
    <x v="4"/>
    <x v="0"/>
    <s v="No"/>
    <s v="Yes"/>
    <n v="4.2"/>
    <x v="0"/>
    <n v="5"/>
    <s v="May"/>
  </r>
  <r>
    <s v="C0481"/>
    <s v="Priya Nair"/>
    <n v="47"/>
    <x v="0"/>
    <x v="4"/>
    <s v="Karnataka"/>
    <s v="Mahindra"/>
    <x v="2"/>
    <x v="1"/>
    <x v="0"/>
    <s v="Automatic"/>
    <d v="2026-03-24T00:00:00"/>
    <d v="2026-04-16T00:00:00"/>
    <n v="1366639"/>
    <n v="52321"/>
    <n v="1314318"/>
    <x v="3"/>
    <x v="0"/>
    <s v="Yes"/>
    <s v="No"/>
    <n v="4.2"/>
    <x v="0"/>
    <n v="4"/>
    <s v="April"/>
  </r>
  <r>
    <s v="C0482"/>
    <s v="Rohit Singh"/>
    <n v="31"/>
    <x v="1"/>
    <x v="1"/>
    <s v="Tamil Nadu"/>
    <s v="Mahindra"/>
    <x v="0"/>
    <x v="2"/>
    <x v="0"/>
    <s v="Manual"/>
    <d v="2025-03-25T00:00:00"/>
    <d v="2025-04-10T00:00:00"/>
    <n v="1681619"/>
    <n v="46241"/>
    <n v="1635378"/>
    <x v="4"/>
    <x v="3"/>
    <s v="No"/>
    <s v="Yes"/>
    <n v="4.5999999999999996"/>
    <x v="1"/>
    <n v="4"/>
    <s v="April"/>
  </r>
  <r>
    <s v="C0483"/>
    <s v="Anjali Verma"/>
    <n v="46"/>
    <x v="1"/>
    <x v="1"/>
    <s v="Tamil Nadu"/>
    <s v="Mahindra"/>
    <x v="2"/>
    <x v="0"/>
    <x v="1"/>
    <s v="Manual"/>
    <d v="2026-05-16T00:00:00"/>
    <d v="2026-06-13T00:00:00"/>
    <n v="1833359"/>
    <n v="51427"/>
    <n v="1781932"/>
    <x v="3"/>
    <x v="1"/>
    <s v="Yes"/>
    <s v="No"/>
    <n v="3.7"/>
    <x v="0"/>
    <n v="6"/>
    <s v="June"/>
  </r>
  <r>
    <s v="C0484"/>
    <s v="Rahul Sharma"/>
    <n v="52"/>
    <x v="1"/>
    <x v="0"/>
    <s v="Telangana"/>
    <s v="Mahindra"/>
    <x v="0"/>
    <x v="1"/>
    <x v="1"/>
    <s v="Manual"/>
    <d v="2025-05-31T00:00:00"/>
    <d v="2025-07-09T00:00:00"/>
    <n v="1863252"/>
    <n v="91150"/>
    <n v="1772102"/>
    <x v="4"/>
    <x v="3"/>
    <s v="No"/>
    <s v="No"/>
    <n v="4.8"/>
    <x v="0"/>
    <n v="7"/>
    <s v="July"/>
  </r>
  <r>
    <s v="C0485"/>
    <s v="Karthik S"/>
    <n v="35"/>
    <x v="1"/>
    <x v="1"/>
    <s v="Tamil Nadu"/>
    <s v="Mahindra"/>
    <x v="0"/>
    <x v="1"/>
    <x v="1"/>
    <s v="Manual"/>
    <d v="2025-08-27T00:00:00"/>
    <d v="2025-10-09T00:00:00"/>
    <n v="1303185"/>
    <n v="12101"/>
    <n v="1291084"/>
    <x v="0"/>
    <x v="4"/>
    <s v="Yes"/>
    <s v="No"/>
    <n v="3.3"/>
    <x v="0"/>
    <n v="10"/>
    <s v="October"/>
  </r>
  <r>
    <s v="C0486"/>
    <s v="Karthik S"/>
    <n v="47"/>
    <x v="1"/>
    <x v="5"/>
    <s v="Tamil Nadu"/>
    <s v="Mahindra"/>
    <x v="1"/>
    <x v="0"/>
    <x v="1"/>
    <s v="Manual"/>
    <d v="2025-09-13T00:00:00"/>
    <d v="2025-10-24T00:00:00"/>
    <n v="1873892"/>
    <n v="12531"/>
    <n v="1861361"/>
    <x v="0"/>
    <x v="2"/>
    <s v="Yes"/>
    <s v="No"/>
    <n v="4.2"/>
    <x v="0"/>
    <n v="10"/>
    <s v="October"/>
  </r>
  <r>
    <s v="C0487"/>
    <s v="Pooja Das"/>
    <n v="39"/>
    <x v="0"/>
    <x v="3"/>
    <s v="Maharashtra"/>
    <s v="Mahindra"/>
    <x v="0"/>
    <x v="0"/>
    <x v="0"/>
    <s v="Manual"/>
    <d v="2026-04-24T00:00:00"/>
    <d v="2026-05-19T00:00:00"/>
    <n v="1327684"/>
    <n v="27247"/>
    <n v="1300437"/>
    <x v="3"/>
    <x v="1"/>
    <s v="No"/>
    <s v="Yes"/>
    <n v="4.4000000000000004"/>
    <x v="0"/>
    <n v="5"/>
    <s v="May"/>
  </r>
  <r>
    <s v="C0488"/>
    <s v="Priya Nair"/>
    <n v="39"/>
    <x v="0"/>
    <x v="4"/>
    <s v="Karnataka"/>
    <s v="Mahindra"/>
    <x v="0"/>
    <x v="2"/>
    <x v="1"/>
    <s v="Automatic"/>
    <d v="2025-05-08T00:00:00"/>
    <d v="2025-06-10T00:00:00"/>
    <n v="1805203"/>
    <n v="79673"/>
    <n v="1725530"/>
    <x v="0"/>
    <x v="1"/>
    <s v="No"/>
    <s v="Yes"/>
    <n v="3.1"/>
    <x v="0"/>
    <n v="6"/>
    <s v="June"/>
  </r>
  <r>
    <s v="C0489"/>
    <s v="Pooja Das"/>
    <n v="44"/>
    <x v="1"/>
    <x v="3"/>
    <s v="Maharashtra"/>
    <s v="Mahindra"/>
    <x v="0"/>
    <x v="3"/>
    <x v="0"/>
    <s v="Manual"/>
    <d v="2025-09-03T00:00:00"/>
    <d v="2025-09-26T00:00:00"/>
    <n v="1781997"/>
    <n v="29800"/>
    <n v="1752197"/>
    <x v="4"/>
    <x v="2"/>
    <s v="Yes"/>
    <s v="No"/>
    <n v="3.7"/>
    <x v="0"/>
    <n v="9"/>
    <s v="September"/>
  </r>
  <r>
    <s v="C0490"/>
    <s v="Karthik S"/>
    <n v="50"/>
    <x v="1"/>
    <x v="3"/>
    <s v="Maharashtra"/>
    <s v="Mahindra"/>
    <x v="2"/>
    <x v="2"/>
    <x v="1"/>
    <s v="Manual"/>
    <d v="2025-02-12T00:00:00"/>
    <d v="2025-03-14T00:00:00"/>
    <n v="1552121"/>
    <n v="51747"/>
    <n v="1500374"/>
    <x v="2"/>
    <x v="2"/>
    <s v="No"/>
    <s v="Yes"/>
    <n v="3.3"/>
    <x v="0"/>
    <n v="3"/>
    <s v="March"/>
  </r>
  <r>
    <s v="C0491"/>
    <s v="Sneha Patel"/>
    <n v="50"/>
    <x v="0"/>
    <x v="3"/>
    <s v="Maharashtra"/>
    <s v="Mahindra"/>
    <x v="1"/>
    <x v="1"/>
    <x v="0"/>
    <s v="Manual"/>
    <d v="2025-02-14T00:00:00"/>
    <d v="2025-03-27T00:00:00"/>
    <n v="1519571"/>
    <n v="52203"/>
    <n v="1467368"/>
    <x v="2"/>
    <x v="2"/>
    <s v="No"/>
    <s v="No"/>
    <n v="3.7"/>
    <x v="0"/>
    <n v="3"/>
    <s v="March"/>
  </r>
  <r>
    <s v="C0492"/>
    <s v="Pooja Das"/>
    <n v="28"/>
    <x v="1"/>
    <x v="4"/>
    <s v="Karnataka"/>
    <s v="Mahindra"/>
    <x v="1"/>
    <x v="4"/>
    <x v="1"/>
    <s v="Manual"/>
    <d v="2025-04-27T00:00:00"/>
    <d v="2025-05-27T00:00:00"/>
    <n v="1643071"/>
    <n v="20303"/>
    <n v="1622768"/>
    <x v="3"/>
    <x v="1"/>
    <s v="Yes"/>
    <s v="No"/>
    <n v="4.5"/>
    <x v="0"/>
    <n v="5"/>
    <s v="May"/>
  </r>
  <r>
    <s v="C0493"/>
    <s v="Vikram Rao"/>
    <n v="54"/>
    <x v="0"/>
    <x v="4"/>
    <s v="Karnataka"/>
    <s v="Mahindra"/>
    <x v="0"/>
    <x v="4"/>
    <x v="1"/>
    <s v="Automatic"/>
    <d v="2025-03-13T00:00:00"/>
    <d v="2025-03-25T00:00:00"/>
    <n v="1580262"/>
    <n v="89093"/>
    <n v="1491169"/>
    <x v="1"/>
    <x v="1"/>
    <s v="Yes"/>
    <s v="No"/>
    <n v="3.8"/>
    <x v="1"/>
    <n v="3"/>
    <s v="March"/>
  </r>
  <r>
    <s v="C0494"/>
    <s v="Meera Iyer"/>
    <n v="37"/>
    <x v="0"/>
    <x v="1"/>
    <s v="Tamil Nadu"/>
    <s v="Mahindra"/>
    <x v="0"/>
    <x v="0"/>
    <x v="0"/>
    <s v="Automatic"/>
    <d v="2025-05-04T00:00:00"/>
    <d v="2025-06-08T00:00:00"/>
    <n v="1807888"/>
    <n v="52565"/>
    <n v="1755323"/>
    <x v="4"/>
    <x v="2"/>
    <s v="No"/>
    <s v="No"/>
    <n v="4.9000000000000004"/>
    <x v="0"/>
    <n v="6"/>
    <s v="June"/>
  </r>
  <r>
    <s v="C0495"/>
    <s v="Vikram Rao"/>
    <n v="52"/>
    <x v="1"/>
    <x v="3"/>
    <s v="Maharashtra"/>
    <s v="Mahindra"/>
    <x v="1"/>
    <x v="1"/>
    <x v="1"/>
    <s v="Automatic"/>
    <d v="2026-02-04T00:00:00"/>
    <d v="2026-03-04T00:00:00"/>
    <n v="1425515"/>
    <n v="79079"/>
    <n v="1346436"/>
    <x v="3"/>
    <x v="4"/>
    <s v="Yes"/>
    <s v="Yes"/>
    <n v="5"/>
    <x v="0"/>
    <n v="3"/>
    <s v="March"/>
  </r>
  <r>
    <s v="C0496"/>
    <s v="Pooja Das"/>
    <n v="52"/>
    <x v="0"/>
    <x v="3"/>
    <s v="Maharashtra"/>
    <s v="Mahindra"/>
    <x v="0"/>
    <x v="0"/>
    <x v="0"/>
    <s v="Automatic"/>
    <d v="2026-03-02T00:00:00"/>
    <d v="2026-03-24T00:00:00"/>
    <n v="1324913"/>
    <n v="97268"/>
    <n v="1227645"/>
    <x v="1"/>
    <x v="1"/>
    <s v="Yes"/>
    <s v="Yes"/>
    <n v="3.2"/>
    <x v="0"/>
    <n v="3"/>
    <s v="March"/>
  </r>
  <r>
    <s v="C0497"/>
    <s v="Karthik S"/>
    <n v="30"/>
    <x v="0"/>
    <x v="2"/>
    <s v="Tamil Nadu"/>
    <s v="Mahindra"/>
    <x v="2"/>
    <x v="2"/>
    <x v="0"/>
    <s v="Automatic"/>
    <d v="2025-01-23T00:00:00"/>
    <d v="2025-02-05T00:00:00"/>
    <n v="1367950"/>
    <n v="40115"/>
    <n v="1327835"/>
    <x v="1"/>
    <x v="2"/>
    <s v="No"/>
    <s v="Yes"/>
    <n v="3.2"/>
    <x v="1"/>
    <n v="2"/>
    <s v="February"/>
  </r>
  <r>
    <s v="C0498"/>
    <s v="Karthik S"/>
    <n v="54"/>
    <x v="1"/>
    <x v="5"/>
    <s v="Tamil Nadu"/>
    <s v="Mahindra"/>
    <x v="1"/>
    <x v="1"/>
    <x v="0"/>
    <s v="Automatic"/>
    <d v="2026-05-19T00:00:00"/>
    <d v="2026-05-27T00:00:00"/>
    <n v="1781223"/>
    <n v="94349"/>
    <n v="1686874"/>
    <x v="3"/>
    <x v="2"/>
    <s v="Yes"/>
    <s v="Yes"/>
    <n v="3.3"/>
    <x v="2"/>
    <n v="5"/>
    <s v="May"/>
  </r>
  <r>
    <s v="C0499"/>
    <s v="Karthik S"/>
    <n v="27"/>
    <x v="0"/>
    <x v="3"/>
    <s v="Maharashtra"/>
    <s v="Mahindra"/>
    <x v="2"/>
    <x v="4"/>
    <x v="0"/>
    <s v="Automatic"/>
    <d v="2025-07-09T00:00:00"/>
    <d v="2025-08-22T00:00:00"/>
    <n v="1659907"/>
    <n v="82384"/>
    <n v="1577523"/>
    <x v="0"/>
    <x v="0"/>
    <s v="Yes"/>
    <s v="No"/>
    <n v="4.9000000000000004"/>
    <x v="0"/>
    <n v="8"/>
    <s v="August"/>
  </r>
  <r>
    <s v="C0500"/>
    <s v="Meera Iyer"/>
    <n v="26"/>
    <x v="1"/>
    <x v="5"/>
    <s v="Tamil Nadu"/>
    <s v="Mahindra"/>
    <x v="1"/>
    <x v="4"/>
    <x v="0"/>
    <s v="Manual"/>
    <d v="2025-10-21T00:00:00"/>
    <d v="2025-11-14T00:00:00"/>
    <n v="1853702"/>
    <n v="71823"/>
    <n v="1781879"/>
    <x v="0"/>
    <x v="2"/>
    <s v="Yes"/>
    <s v="No"/>
    <n v="3"/>
    <x v="0"/>
    <n v="11"/>
    <s v="November"/>
  </r>
  <r>
    <s v="C0501"/>
    <s v="Rohit Singh"/>
    <n v="51"/>
    <x v="1"/>
    <x v="2"/>
    <s v="Tamil Nadu"/>
    <s v="Mahindra"/>
    <x v="1"/>
    <x v="4"/>
    <x v="1"/>
    <s v="Automatic"/>
    <d v="2025-09-30T00:00:00"/>
    <d v="2025-10-08T00:00:00"/>
    <n v="1353642"/>
    <n v="35751"/>
    <n v="1317891"/>
    <x v="2"/>
    <x v="2"/>
    <s v="Yes"/>
    <s v="Yes"/>
    <n v="3.6"/>
    <x v="2"/>
    <n v="10"/>
    <s v="October"/>
  </r>
  <r>
    <s v="C0502"/>
    <s v="Karthik S"/>
    <n v="57"/>
    <x v="0"/>
    <x v="3"/>
    <s v="Maharashtra"/>
    <s v="Mahindra"/>
    <x v="0"/>
    <x v="2"/>
    <x v="0"/>
    <s v="Automatic"/>
    <d v="2025-10-05T00:00:00"/>
    <d v="2025-11-01T00:00:00"/>
    <n v="1805333"/>
    <n v="83100"/>
    <n v="1722233"/>
    <x v="0"/>
    <x v="3"/>
    <s v="No"/>
    <s v="No"/>
    <n v="4.0999999999999996"/>
    <x v="0"/>
    <n v="11"/>
    <s v="November"/>
  </r>
  <r>
    <s v="C0503"/>
    <s v="Pooja Das"/>
    <n v="58"/>
    <x v="1"/>
    <x v="0"/>
    <s v="Telangana"/>
    <s v="Mahindra"/>
    <x v="1"/>
    <x v="4"/>
    <x v="0"/>
    <s v="Automatic"/>
    <d v="2026-01-13T00:00:00"/>
    <d v="2026-02-15T00:00:00"/>
    <n v="1406783"/>
    <n v="23838"/>
    <n v="1382945"/>
    <x v="4"/>
    <x v="1"/>
    <s v="Yes"/>
    <s v="Yes"/>
    <n v="3.6"/>
    <x v="0"/>
    <n v="2"/>
    <s v="February"/>
  </r>
  <r>
    <s v="C0504"/>
    <s v="Meera Iyer"/>
    <n v="51"/>
    <x v="0"/>
    <x v="4"/>
    <s v="Karnataka"/>
    <s v="Mahindra"/>
    <x v="2"/>
    <x v="1"/>
    <x v="1"/>
    <s v="Automatic"/>
    <d v="2025-06-10T00:00:00"/>
    <d v="2025-07-13T00:00:00"/>
    <n v="1632818"/>
    <n v="44421"/>
    <n v="1588397"/>
    <x v="4"/>
    <x v="3"/>
    <s v="Yes"/>
    <s v="No"/>
    <n v="4.7"/>
    <x v="0"/>
    <n v="7"/>
    <s v="July"/>
  </r>
  <r>
    <s v="C0505"/>
    <s v="Anjali Verma"/>
    <n v="50"/>
    <x v="1"/>
    <x v="1"/>
    <s v="Tamil Nadu"/>
    <s v="Mahindra"/>
    <x v="0"/>
    <x v="3"/>
    <x v="0"/>
    <s v="Automatic"/>
    <d v="2026-01-24T00:00:00"/>
    <d v="2026-02-12T00:00:00"/>
    <n v="1555721"/>
    <n v="58292"/>
    <n v="1497429"/>
    <x v="4"/>
    <x v="4"/>
    <s v="Yes"/>
    <s v="No"/>
    <n v="4.5"/>
    <x v="1"/>
    <n v="2"/>
    <s v="February"/>
  </r>
  <r>
    <s v="C0506"/>
    <s v="Meera Iyer"/>
    <n v="23"/>
    <x v="1"/>
    <x v="5"/>
    <s v="Tamil Nadu"/>
    <s v="Mahindra"/>
    <x v="2"/>
    <x v="2"/>
    <x v="1"/>
    <s v="Manual"/>
    <d v="2025-03-27T00:00:00"/>
    <d v="2025-04-22T00:00:00"/>
    <n v="1753821"/>
    <n v="29942"/>
    <n v="1723879"/>
    <x v="0"/>
    <x v="4"/>
    <s v="Yes"/>
    <s v="Yes"/>
    <n v="4.7"/>
    <x v="0"/>
    <n v="4"/>
    <s v="April"/>
  </r>
  <r>
    <s v="C0507"/>
    <s v="Karthik S"/>
    <n v="40"/>
    <x v="1"/>
    <x v="1"/>
    <s v="Tamil Nadu"/>
    <s v="Mahindra"/>
    <x v="0"/>
    <x v="4"/>
    <x v="1"/>
    <s v="Manual"/>
    <d v="2026-06-02T00:00:00"/>
    <d v="2026-06-25T00:00:00"/>
    <n v="1308200"/>
    <n v="17765"/>
    <n v="1290435"/>
    <x v="3"/>
    <x v="4"/>
    <s v="Yes"/>
    <s v="Yes"/>
    <n v="5"/>
    <x v="0"/>
    <n v="6"/>
    <s v="June"/>
  </r>
  <r>
    <s v="C0508"/>
    <s v="Pooja Das"/>
    <n v="32"/>
    <x v="1"/>
    <x v="1"/>
    <s v="Tamil Nadu"/>
    <s v="Mahindra"/>
    <x v="1"/>
    <x v="3"/>
    <x v="1"/>
    <s v="Automatic"/>
    <d v="2025-11-26T00:00:00"/>
    <d v="2025-12-17T00:00:00"/>
    <n v="1848963"/>
    <n v="18611"/>
    <n v="1830352"/>
    <x v="4"/>
    <x v="4"/>
    <s v="Yes"/>
    <s v="No"/>
    <n v="3.6"/>
    <x v="0"/>
    <n v="12"/>
    <s v="December"/>
  </r>
  <r>
    <s v="C0509"/>
    <s v="Rahul Sharma"/>
    <n v="57"/>
    <x v="0"/>
    <x v="4"/>
    <s v="Karnataka"/>
    <s v="Mahindra"/>
    <x v="0"/>
    <x v="2"/>
    <x v="0"/>
    <s v="Manual"/>
    <d v="2025-11-16T00:00:00"/>
    <d v="2025-12-09T00:00:00"/>
    <n v="1463241"/>
    <n v="46968"/>
    <n v="1416273"/>
    <x v="3"/>
    <x v="0"/>
    <s v="Yes"/>
    <s v="No"/>
    <n v="4.2"/>
    <x v="0"/>
    <n v="12"/>
    <s v="December"/>
  </r>
  <r>
    <s v="C0510"/>
    <s v="Meera Iyer"/>
    <n v="42"/>
    <x v="1"/>
    <x v="5"/>
    <s v="Tamil Nadu"/>
    <s v="Mahindra"/>
    <x v="1"/>
    <x v="2"/>
    <x v="0"/>
    <s v="Automatic"/>
    <d v="2025-03-25T00:00:00"/>
    <d v="2025-04-07T00:00:00"/>
    <n v="1563206"/>
    <n v="84938"/>
    <n v="1478268"/>
    <x v="4"/>
    <x v="3"/>
    <s v="Yes"/>
    <s v="Yes"/>
    <n v="3.7"/>
    <x v="1"/>
    <n v="4"/>
    <s v="April"/>
  </r>
  <r>
    <s v="C0511"/>
    <s v="Sneha Patel"/>
    <n v="30"/>
    <x v="0"/>
    <x v="4"/>
    <s v="Karnataka"/>
    <s v="Mahindra"/>
    <x v="0"/>
    <x v="0"/>
    <x v="0"/>
    <s v="Automatic"/>
    <d v="2026-04-20T00:00:00"/>
    <d v="2026-05-14T00:00:00"/>
    <n v="1308414"/>
    <n v="51591"/>
    <n v="1256823"/>
    <x v="3"/>
    <x v="0"/>
    <s v="Yes"/>
    <s v="Yes"/>
    <n v="3.9"/>
    <x v="0"/>
    <n v="5"/>
    <s v="May"/>
  </r>
  <r>
    <s v="C0512"/>
    <s v="Sneha Patel"/>
    <n v="50"/>
    <x v="1"/>
    <x v="4"/>
    <s v="Karnataka"/>
    <s v="Mahindra"/>
    <x v="1"/>
    <x v="1"/>
    <x v="0"/>
    <s v="Automatic"/>
    <d v="2026-06-09T00:00:00"/>
    <d v="2026-07-04T00:00:00"/>
    <n v="1896483"/>
    <n v="87491"/>
    <n v="1808992"/>
    <x v="4"/>
    <x v="1"/>
    <s v="Yes"/>
    <s v="Yes"/>
    <n v="4.2"/>
    <x v="0"/>
    <n v="7"/>
    <s v="July"/>
  </r>
  <r>
    <s v="C0513"/>
    <s v="Priya Nair"/>
    <n v="28"/>
    <x v="0"/>
    <x v="2"/>
    <s v="Tamil Nadu"/>
    <s v="Mahindra"/>
    <x v="1"/>
    <x v="1"/>
    <x v="1"/>
    <s v="Automatic"/>
    <d v="2025-08-27T00:00:00"/>
    <d v="2025-10-02T00:00:00"/>
    <n v="1688445"/>
    <n v="84752"/>
    <n v="1603693"/>
    <x v="0"/>
    <x v="3"/>
    <s v="Yes"/>
    <s v="Yes"/>
    <n v="4"/>
    <x v="0"/>
    <n v="10"/>
    <s v="October"/>
  </r>
  <r>
    <s v="C0514"/>
    <s v="Rahul Sharma"/>
    <n v="36"/>
    <x v="1"/>
    <x v="2"/>
    <s v="Tamil Nadu"/>
    <s v="Mahindra"/>
    <x v="1"/>
    <x v="3"/>
    <x v="1"/>
    <s v="Manual"/>
    <d v="2025-12-09T00:00:00"/>
    <d v="2025-12-22T00:00:00"/>
    <n v="1703844"/>
    <n v="92737"/>
    <n v="1611107"/>
    <x v="1"/>
    <x v="1"/>
    <s v="No"/>
    <s v="Yes"/>
    <n v="4"/>
    <x v="1"/>
    <n v="12"/>
    <s v="December"/>
  </r>
  <r>
    <s v="C0515"/>
    <s v="Vikram Rao"/>
    <n v="56"/>
    <x v="0"/>
    <x v="1"/>
    <s v="Tamil Nadu"/>
    <s v="Mahindra"/>
    <x v="0"/>
    <x v="0"/>
    <x v="0"/>
    <s v="Manual"/>
    <d v="2026-05-10T00:00:00"/>
    <d v="2026-06-11T00:00:00"/>
    <n v="1399289"/>
    <n v="27047"/>
    <n v="1372242"/>
    <x v="0"/>
    <x v="2"/>
    <s v="No"/>
    <s v="No"/>
    <n v="4.3"/>
    <x v="0"/>
    <n v="6"/>
    <s v="June"/>
  </r>
  <r>
    <s v="C0516"/>
    <s v="Pooja Das"/>
    <n v="26"/>
    <x v="1"/>
    <x v="3"/>
    <s v="Maharashtra"/>
    <s v="Mahindra"/>
    <x v="2"/>
    <x v="2"/>
    <x v="0"/>
    <s v="Manual"/>
    <d v="2026-01-08T00:00:00"/>
    <d v="2026-02-02T00:00:00"/>
    <n v="1775558"/>
    <n v="51347"/>
    <n v="1724211"/>
    <x v="0"/>
    <x v="2"/>
    <s v="No"/>
    <s v="No"/>
    <n v="4.0999999999999996"/>
    <x v="0"/>
    <n v="2"/>
    <s v="February"/>
  </r>
  <r>
    <s v="C0517"/>
    <s v="Pooja Das"/>
    <n v="34"/>
    <x v="0"/>
    <x v="2"/>
    <s v="Tamil Nadu"/>
    <s v="Mahindra"/>
    <x v="2"/>
    <x v="4"/>
    <x v="1"/>
    <s v="Manual"/>
    <d v="2025-01-08T00:00:00"/>
    <d v="2025-02-11T00:00:00"/>
    <n v="1827327"/>
    <n v="61524"/>
    <n v="1765803"/>
    <x v="4"/>
    <x v="2"/>
    <s v="Yes"/>
    <s v="No"/>
    <n v="4.4000000000000004"/>
    <x v="0"/>
    <n v="2"/>
    <s v="February"/>
  </r>
  <r>
    <s v="C0518"/>
    <s v="Sneha Patel"/>
    <n v="35"/>
    <x v="1"/>
    <x v="2"/>
    <s v="Tamil Nadu"/>
    <s v="Mahindra"/>
    <x v="1"/>
    <x v="0"/>
    <x v="0"/>
    <s v="Automatic"/>
    <d v="2025-08-05T00:00:00"/>
    <d v="2025-08-15T00:00:00"/>
    <n v="1779133"/>
    <n v="30434"/>
    <n v="1748699"/>
    <x v="1"/>
    <x v="1"/>
    <s v="No"/>
    <s v="No"/>
    <n v="4.7"/>
    <x v="2"/>
    <n v="8"/>
    <s v="August"/>
  </r>
  <r>
    <s v="C0519"/>
    <s v="Priya Nair"/>
    <n v="41"/>
    <x v="0"/>
    <x v="3"/>
    <s v="Maharashtra"/>
    <s v="Mahindra"/>
    <x v="2"/>
    <x v="4"/>
    <x v="1"/>
    <s v="Automatic"/>
    <d v="2025-08-11T00:00:00"/>
    <d v="2025-09-19T00:00:00"/>
    <n v="1407816"/>
    <n v="88485"/>
    <n v="1319331"/>
    <x v="3"/>
    <x v="1"/>
    <s v="Yes"/>
    <s v="Yes"/>
    <n v="3"/>
    <x v="0"/>
    <n v="9"/>
    <s v="September"/>
  </r>
  <r>
    <s v="C0520"/>
    <s v="Meera Iyer"/>
    <n v="58"/>
    <x v="1"/>
    <x v="1"/>
    <s v="Tamil Nadu"/>
    <s v="Mahindra"/>
    <x v="0"/>
    <x v="0"/>
    <x v="1"/>
    <s v="Automatic"/>
    <d v="2025-08-30T00:00:00"/>
    <d v="2025-09-27T00:00:00"/>
    <n v="1867733"/>
    <n v="96465"/>
    <n v="1771268"/>
    <x v="1"/>
    <x v="0"/>
    <s v="Yes"/>
    <s v="Yes"/>
    <n v="3.5"/>
    <x v="0"/>
    <n v="9"/>
    <s v="September"/>
  </r>
  <r>
    <s v="C0521"/>
    <s v="Vikram Rao"/>
    <n v="49"/>
    <x v="1"/>
    <x v="1"/>
    <s v="Tamil Nadu"/>
    <s v="Mahindra"/>
    <x v="1"/>
    <x v="2"/>
    <x v="0"/>
    <s v="Automatic"/>
    <d v="2025-09-30T00:00:00"/>
    <d v="2025-10-24T00:00:00"/>
    <n v="1502491"/>
    <n v="14785"/>
    <n v="1487706"/>
    <x v="2"/>
    <x v="0"/>
    <s v="Yes"/>
    <s v="No"/>
    <n v="4.3"/>
    <x v="0"/>
    <n v="10"/>
    <s v="October"/>
  </r>
  <r>
    <s v="C0522"/>
    <s v="Anjali Verma"/>
    <n v="39"/>
    <x v="1"/>
    <x v="4"/>
    <s v="Karnataka"/>
    <s v="Mahindra"/>
    <x v="0"/>
    <x v="0"/>
    <x v="0"/>
    <s v="Automatic"/>
    <d v="2025-08-09T00:00:00"/>
    <d v="2025-08-24T00:00:00"/>
    <n v="1661619"/>
    <n v="80706"/>
    <n v="1580913"/>
    <x v="2"/>
    <x v="2"/>
    <s v="Yes"/>
    <s v="No"/>
    <n v="4.9000000000000004"/>
    <x v="1"/>
    <n v="8"/>
    <s v="August"/>
  </r>
  <r>
    <s v="C0523"/>
    <s v="Sneha Patel"/>
    <n v="48"/>
    <x v="1"/>
    <x v="0"/>
    <s v="Telangana"/>
    <s v="Mahindra"/>
    <x v="2"/>
    <x v="0"/>
    <x v="0"/>
    <s v="Manual"/>
    <d v="2026-05-04T00:00:00"/>
    <d v="2026-06-12T00:00:00"/>
    <n v="1407967"/>
    <n v="18248"/>
    <n v="1389719"/>
    <x v="2"/>
    <x v="3"/>
    <s v="No"/>
    <s v="Yes"/>
    <n v="4.9000000000000004"/>
    <x v="0"/>
    <n v="6"/>
    <s v="June"/>
  </r>
  <r>
    <s v="C0524"/>
    <s v="Anjali Verma"/>
    <n v="44"/>
    <x v="1"/>
    <x v="1"/>
    <s v="Tamil Nadu"/>
    <s v="Mahindra"/>
    <x v="1"/>
    <x v="3"/>
    <x v="0"/>
    <s v="Automatic"/>
    <d v="2026-02-15T00:00:00"/>
    <d v="2026-03-13T00:00:00"/>
    <n v="1629391"/>
    <n v="21261"/>
    <n v="1608130"/>
    <x v="1"/>
    <x v="2"/>
    <s v="No"/>
    <s v="Yes"/>
    <n v="3.6"/>
    <x v="0"/>
    <n v="3"/>
    <s v="March"/>
  </r>
  <r>
    <s v="C0525"/>
    <s v="Priya Nair"/>
    <n v="49"/>
    <x v="0"/>
    <x v="2"/>
    <s v="Tamil Nadu"/>
    <s v="Mahindra"/>
    <x v="1"/>
    <x v="2"/>
    <x v="1"/>
    <s v="Automatic"/>
    <d v="2025-02-10T00:00:00"/>
    <d v="2025-03-19T00:00:00"/>
    <n v="1421793"/>
    <n v="54929"/>
    <n v="1366864"/>
    <x v="1"/>
    <x v="4"/>
    <s v="Yes"/>
    <s v="Yes"/>
    <n v="4.5999999999999996"/>
    <x v="0"/>
    <n v="3"/>
    <s v="March"/>
  </r>
  <r>
    <s v="C0526"/>
    <s v="Vikram Rao"/>
    <n v="27"/>
    <x v="0"/>
    <x v="5"/>
    <s v="Tamil Nadu"/>
    <s v="Mahindra"/>
    <x v="0"/>
    <x v="0"/>
    <x v="1"/>
    <s v="Automatic"/>
    <d v="2026-03-28T00:00:00"/>
    <d v="2026-04-27T00:00:00"/>
    <n v="1740703"/>
    <n v="73426"/>
    <n v="1667277"/>
    <x v="0"/>
    <x v="4"/>
    <s v="No"/>
    <s v="No"/>
    <n v="3.5"/>
    <x v="0"/>
    <n v="4"/>
    <s v="April"/>
  </r>
  <r>
    <s v="C0527"/>
    <s v="Pooja Das"/>
    <n v="43"/>
    <x v="1"/>
    <x v="0"/>
    <s v="Telangana"/>
    <s v="Mahindra"/>
    <x v="1"/>
    <x v="4"/>
    <x v="0"/>
    <s v="Manual"/>
    <d v="2026-01-27T00:00:00"/>
    <d v="2026-03-13T00:00:00"/>
    <n v="1464236"/>
    <n v="14107"/>
    <n v="1450129"/>
    <x v="0"/>
    <x v="4"/>
    <s v="Yes"/>
    <s v="Yes"/>
    <n v="3.6"/>
    <x v="0"/>
    <n v="3"/>
    <s v="March"/>
  </r>
  <r>
    <s v="C0528"/>
    <s v="Rohit Singh"/>
    <n v="27"/>
    <x v="1"/>
    <x v="5"/>
    <s v="Tamil Nadu"/>
    <s v="Mahindra"/>
    <x v="0"/>
    <x v="2"/>
    <x v="1"/>
    <s v="Automatic"/>
    <d v="2025-02-07T00:00:00"/>
    <d v="2025-02-15T00:00:00"/>
    <n v="1789457"/>
    <n v="15380"/>
    <n v="1774077"/>
    <x v="2"/>
    <x v="4"/>
    <s v="No"/>
    <s v="No"/>
    <n v="3.7"/>
    <x v="2"/>
    <n v="2"/>
    <s v="February"/>
  </r>
  <r>
    <s v="C0529"/>
    <s v="Anjali Verma"/>
    <n v="36"/>
    <x v="1"/>
    <x v="1"/>
    <s v="Tamil Nadu"/>
    <s v="Mahindra"/>
    <x v="1"/>
    <x v="0"/>
    <x v="0"/>
    <s v="Automatic"/>
    <d v="2025-09-20T00:00:00"/>
    <d v="2025-10-26T00:00:00"/>
    <n v="1388673"/>
    <n v="88109"/>
    <n v="1300564"/>
    <x v="1"/>
    <x v="3"/>
    <s v="Yes"/>
    <s v="Yes"/>
    <n v="3.2"/>
    <x v="0"/>
    <n v="10"/>
    <s v="October"/>
  </r>
  <r>
    <s v="C0530"/>
    <s v="Priya Nair"/>
    <n v="59"/>
    <x v="1"/>
    <x v="3"/>
    <s v="Maharashtra"/>
    <s v="Mahindra"/>
    <x v="2"/>
    <x v="4"/>
    <x v="1"/>
    <s v="Manual"/>
    <d v="2025-07-22T00:00:00"/>
    <d v="2025-09-01T00:00:00"/>
    <n v="1641258"/>
    <n v="18180"/>
    <n v="1623078"/>
    <x v="2"/>
    <x v="1"/>
    <s v="Yes"/>
    <s v="No"/>
    <n v="3.6"/>
    <x v="0"/>
    <n v="9"/>
    <s v="September"/>
  </r>
  <r>
    <s v="C0531"/>
    <s v="Rohit Singh"/>
    <n v="44"/>
    <x v="1"/>
    <x v="3"/>
    <s v="Maharashtra"/>
    <s v="Mahindra"/>
    <x v="0"/>
    <x v="1"/>
    <x v="0"/>
    <s v="Manual"/>
    <d v="2026-05-10T00:00:00"/>
    <d v="2026-05-28T00:00:00"/>
    <n v="1880507"/>
    <n v="75913"/>
    <n v="1804594"/>
    <x v="1"/>
    <x v="3"/>
    <s v="Yes"/>
    <s v="Yes"/>
    <n v="3.7"/>
    <x v="1"/>
    <n v="5"/>
    <s v="May"/>
  </r>
  <r>
    <s v="C0532"/>
    <s v="Meera Iyer"/>
    <n v="47"/>
    <x v="1"/>
    <x v="5"/>
    <s v="Tamil Nadu"/>
    <s v="Mahindra"/>
    <x v="0"/>
    <x v="3"/>
    <x v="1"/>
    <s v="Automatic"/>
    <d v="2025-12-03T00:00:00"/>
    <d v="2026-01-10T00:00:00"/>
    <n v="1812699"/>
    <n v="23226"/>
    <n v="1789473"/>
    <x v="4"/>
    <x v="3"/>
    <s v="No"/>
    <s v="Yes"/>
    <n v="3"/>
    <x v="0"/>
    <n v="1"/>
    <s v="January"/>
  </r>
  <r>
    <s v="C0533"/>
    <s v="Pooja Das"/>
    <n v="51"/>
    <x v="0"/>
    <x v="1"/>
    <s v="Tamil Nadu"/>
    <s v="Mahindra"/>
    <x v="0"/>
    <x v="1"/>
    <x v="0"/>
    <s v="Manual"/>
    <d v="2025-08-19T00:00:00"/>
    <d v="2025-08-27T00:00:00"/>
    <n v="1545194"/>
    <n v="55103"/>
    <n v="1490091"/>
    <x v="3"/>
    <x v="1"/>
    <s v="Yes"/>
    <s v="No"/>
    <n v="3.6"/>
    <x v="2"/>
    <n v="8"/>
    <s v="August"/>
  </r>
  <r>
    <s v="C0534"/>
    <s v="Arjun Kumar"/>
    <n v="30"/>
    <x v="1"/>
    <x v="1"/>
    <s v="Tamil Nadu"/>
    <s v="Mahindra"/>
    <x v="1"/>
    <x v="0"/>
    <x v="0"/>
    <s v="Automatic"/>
    <d v="2026-03-11T00:00:00"/>
    <d v="2026-04-14T00:00:00"/>
    <n v="1551382"/>
    <n v="62974"/>
    <n v="1488408"/>
    <x v="0"/>
    <x v="1"/>
    <s v="No"/>
    <s v="No"/>
    <n v="3.3"/>
    <x v="0"/>
    <n v="4"/>
    <s v="April"/>
  </r>
  <r>
    <s v="C0535"/>
    <s v="Sneha Patel"/>
    <n v="21"/>
    <x v="0"/>
    <x v="1"/>
    <s v="Tamil Nadu"/>
    <s v="Mahindra"/>
    <x v="0"/>
    <x v="0"/>
    <x v="1"/>
    <s v="Manual"/>
    <d v="2026-06-11T00:00:00"/>
    <d v="2026-06-20T00:00:00"/>
    <n v="1808914"/>
    <n v="85042"/>
    <n v="1723872"/>
    <x v="1"/>
    <x v="3"/>
    <s v="No"/>
    <s v="No"/>
    <n v="4.9000000000000004"/>
    <x v="2"/>
    <n v="6"/>
    <s v="June"/>
  </r>
  <r>
    <s v="C0536"/>
    <s v="Karthik S"/>
    <n v="25"/>
    <x v="0"/>
    <x v="1"/>
    <s v="Tamil Nadu"/>
    <s v="Mahindra"/>
    <x v="0"/>
    <x v="1"/>
    <x v="1"/>
    <s v="Automatic"/>
    <d v="2026-02-25T00:00:00"/>
    <d v="2026-04-06T00:00:00"/>
    <n v="1346528"/>
    <n v="68206"/>
    <n v="1278322"/>
    <x v="3"/>
    <x v="4"/>
    <s v="No"/>
    <s v="Yes"/>
    <n v="4.7"/>
    <x v="0"/>
    <n v="4"/>
    <s v="April"/>
  </r>
  <r>
    <s v="C0537"/>
    <s v="Rohit Singh"/>
    <n v="54"/>
    <x v="1"/>
    <x v="2"/>
    <s v="Tamil Nadu"/>
    <s v="Mahindra"/>
    <x v="2"/>
    <x v="0"/>
    <x v="1"/>
    <s v="Automatic"/>
    <d v="2025-06-09T00:00:00"/>
    <d v="2025-07-09T00:00:00"/>
    <n v="1615508"/>
    <n v="19917"/>
    <n v="1595591"/>
    <x v="4"/>
    <x v="3"/>
    <s v="Yes"/>
    <s v="Yes"/>
    <n v="4.5999999999999996"/>
    <x v="0"/>
    <n v="7"/>
    <s v="July"/>
  </r>
  <r>
    <s v="C0538"/>
    <s v="Priya Nair"/>
    <n v="46"/>
    <x v="0"/>
    <x v="3"/>
    <s v="Maharashtra"/>
    <s v="Mahindra"/>
    <x v="1"/>
    <x v="3"/>
    <x v="1"/>
    <s v="Automatic"/>
    <d v="2025-12-24T00:00:00"/>
    <d v="2026-01-23T00:00:00"/>
    <n v="1799854"/>
    <n v="44653"/>
    <n v="1755201"/>
    <x v="1"/>
    <x v="2"/>
    <s v="No"/>
    <s v="Yes"/>
    <n v="4.8"/>
    <x v="0"/>
    <n v="1"/>
    <s v="January"/>
  </r>
  <r>
    <s v="C0539"/>
    <s v="Karthik S"/>
    <n v="35"/>
    <x v="0"/>
    <x v="2"/>
    <s v="Tamil Nadu"/>
    <s v="Mahindra"/>
    <x v="1"/>
    <x v="1"/>
    <x v="1"/>
    <s v="Manual"/>
    <d v="2025-03-12T00:00:00"/>
    <d v="2025-03-24T00:00:00"/>
    <n v="1359497"/>
    <n v="38476"/>
    <n v="1321021"/>
    <x v="3"/>
    <x v="1"/>
    <s v="Yes"/>
    <s v="No"/>
    <n v="4.3"/>
    <x v="1"/>
    <n v="3"/>
    <s v="March"/>
  </r>
  <r>
    <s v="C0540"/>
    <s v="Pooja Das"/>
    <n v="58"/>
    <x v="1"/>
    <x v="4"/>
    <s v="Karnataka"/>
    <s v="Mahindra"/>
    <x v="0"/>
    <x v="4"/>
    <x v="1"/>
    <s v="Automatic"/>
    <d v="2026-03-26T00:00:00"/>
    <d v="2026-04-14T00:00:00"/>
    <n v="1899463"/>
    <n v="60556"/>
    <n v="1838907"/>
    <x v="0"/>
    <x v="1"/>
    <s v="Yes"/>
    <s v="No"/>
    <n v="3.2"/>
    <x v="1"/>
    <n v="4"/>
    <s v="April"/>
  </r>
  <r>
    <s v="C0541"/>
    <s v="Rohit Singh"/>
    <n v="56"/>
    <x v="0"/>
    <x v="5"/>
    <s v="Tamil Nadu"/>
    <s v="Mahindra"/>
    <x v="1"/>
    <x v="1"/>
    <x v="0"/>
    <s v="Automatic"/>
    <d v="2026-02-20T00:00:00"/>
    <d v="2026-03-02T00:00:00"/>
    <n v="1808136"/>
    <n v="49511"/>
    <n v="1758625"/>
    <x v="3"/>
    <x v="3"/>
    <s v="Yes"/>
    <s v="No"/>
    <n v="4.9000000000000004"/>
    <x v="2"/>
    <n v="3"/>
    <s v="March"/>
  </r>
  <r>
    <s v="C0542"/>
    <s v="Anjali Verma"/>
    <n v="53"/>
    <x v="0"/>
    <x v="2"/>
    <s v="Tamil Nadu"/>
    <s v="Mahindra"/>
    <x v="0"/>
    <x v="0"/>
    <x v="1"/>
    <s v="Automatic"/>
    <d v="2025-06-14T00:00:00"/>
    <d v="2025-06-27T00:00:00"/>
    <n v="1497439"/>
    <n v="73718"/>
    <n v="1423721"/>
    <x v="1"/>
    <x v="3"/>
    <s v="Yes"/>
    <s v="Yes"/>
    <n v="3"/>
    <x v="1"/>
    <n v="6"/>
    <s v="June"/>
  </r>
  <r>
    <s v="C0543"/>
    <s v="Arjun Kumar"/>
    <n v="50"/>
    <x v="0"/>
    <x v="3"/>
    <s v="Maharashtra"/>
    <s v="Mahindra"/>
    <x v="0"/>
    <x v="4"/>
    <x v="1"/>
    <s v="Manual"/>
    <d v="2025-08-14T00:00:00"/>
    <d v="2025-09-09T00:00:00"/>
    <n v="1466576"/>
    <n v="74662"/>
    <n v="1391914"/>
    <x v="0"/>
    <x v="4"/>
    <s v="No"/>
    <s v="Yes"/>
    <n v="3.4"/>
    <x v="0"/>
    <n v="9"/>
    <s v="September"/>
  </r>
  <r>
    <s v="C0544"/>
    <s v="Priya Nair"/>
    <n v="27"/>
    <x v="1"/>
    <x v="1"/>
    <s v="Tamil Nadu"/>
    <s v="Mahindra"/>
    <x v="1"/>
    <x v="1"/>
    <x v="0"/>
    <s v="Automatic"/>
    <d v="2025-11-05T00:00:00"/>
    <d v="2025-12-05T00:00:00"/>
    <n v="1746364"/>
    <n v="26439"/>
    <n v="1719925"/>
    <x v="4"/>
    <x v="0"/>
    <s v="Yes"/>
    <s v="Yes"/>
    <n v="3.6"/>
    <x v="0"/>
    <n v="12"/>
    <s v="December"/>
  </r>
  <r>
    <s v="C0545"/>
    <s v="Priya Nair"/>
    <n v="40"/>
    <x v="1"/>
    <x v="3"/>
    <s v="Maharashtra"/>
    <s v="Mahindra"/>
    <x v="1"/>
    <x v="2"/>
    <x v="1"/>
    <s v="Automatic"/>
    <d v="2025-10-05T00:00:00"/>
    <d v="2025-10-26T00:00:00"/>
    <n v="1433530"/>
    <n v="12650"/>
    <n v="1420880"/>
    <x v="1"/>
    <x v="0"/>
    <s v="Yes"/>
    <s v="Yes"/>
    <n v="3.1"/>
    <x v="0"/>
    <n v="10"/>
    <s v="October"/>
  </r>
  <r>
    <s v="C0546"/>
    <s v="Anjali Verma"/>
    <n v="55"/>
    <x v="1"/>
    <x v="5"/>
    <s v="Tamil Nadu"/>
    <s v="Mahindra"/>
    <x v="2"/>
    <x v="3"/>
    <x v="0"/>
    <s v="Manual"/>
    <d v="2025-09-28T00:00:00"/>
    <d v="2025-10-14T00:00:00"/>
    <n v="1723952"/>
    <n v="23737"/>
    <n v="1700215"/>
    <x v="4"/>
    <x v="1"/>
    <s v="Yes"/>
    <s v="No"/>
    <n v="4.4000000000000004"/>
    <x v="1"/>
    <n v="10"/>
    <s v="October"/>
  </r>
  <r>
    <s v="C0547"/>
    <s v="Meera Iyer"/>
    <n v="34"/>
    <x v="1"/>
    <x v="2"/>
    <s v="Tamil Nadu"/>
    <s v="Mahindra"/>
    <x v="1"/>
    <x v="3"/>
    <x v="1"/>
    <s v="Automatic"/>
    <d v="2026-01-04T00:00:00"/>
    <d v="2026-02-03T00:00:00"/>
    <n v="1570815"/>
    <n v="36289"/>
    <n v="1534526"/>
    <x v="1"/>
    <x v="3"/>
    <s v="No"/>
    <s v="No"/>
    <n v="3.4"/>
    <x v="0"/>
    <n v="2"/>
    <s v="February"/>
  </r>
  <r>
    <s v="C0548"/>
    <s v="Rahul Sharma"/>
    <n v="45"/>
    <x v="1"/>
    <x v="5"/>
    <s v="Tamil Nadu"/>
    <s v="Mahindra"/>
    <x v="1"/>
    <x v="3"/>
    <x v="0"/>
    <s v="Manual"/>
    <d v="2026-02-17T00:00:00"/>
    <d v="2026-03-16T00:00:00"/>
    <n v="1527985"/>
    <n v="49092"/>
    <n v="1478893"/>
    <x v="2"/>
    <x v="0"/>
    <s v="No"/>
    <s v="Yes"/>
    <n v="3.1"/>
    <x v="0"/>
    <n v="3"/>
    <s v="March"/>
  </r>
  <r>
    <s v="C0549"/>
    <s v="Sneha Patel"/>
    <n v="46"/>
    <x v="0"/>
    <x v="1"/>
    <s v="Tamil Nadu"/>
    <s v="Mahindra"/>
    <x v="1"/>
    <x v="3"/>
    <x v="1"/>
    <s v="Automatic"/>
    <d v="2025-11-22T00:00:00"/>
    <d v="2025-12-23T00:00:00"/>
    <n v="1304449"/>
    <n v="97748"/>
    <n v="1206701"/>
    <x v="4"/>
    <x v="0"/>
    <s v="Yes"/>
    <s v="No"/>
    <n v="3.8"/>
    <x v="0"/>
    <n v="12"/>
    <s v="December"/>
  </r>
  <r>
    <s v="C0550"/>
    <s v="Karthik S"/>
    <n v="27"/>
    <x v="1"/>
    <x v="5"/>
    <s v="Tamil Nadu"/>
    <s v="Mahindra"/>
    <x v="0"/>
    <x v="1"/>
    <x v="1"/>
    <s v="Manual"/>
    <d v="2025-11-27T00:00:00"/>
    <d v="2025-12-09T00:00:00"/>
    <n v="1884082"/>
    <n v="89033"/>
    <n v="1795049"/>
    <x v="0"/>
    <x v="3"/>
    <s v="No"/>
    <s v="Yes"/>
    <n v="4.4000000000000004"/>
    <x v="1"/>
    <n v="12"/>
    <s v="December"/>
  </r>
  <r>
    <s v="C0551"/>
    <s v="Anjali Verma"/>
    <n v="56"/>
    <x v="0"/>
    <x v="5"/>
    <s v="Tamil Nadu"/>
    <s v="Mahindra"/>
    <x v="0"/>
    <x v="2"/>
    <x v="1"/>
    <s v="Automatic"/>
    <d v="2025-11-11T00:00:00"/>
    <d v="2025-12-03T00:00:00"/>
    <n v="1465314"/>
    <n v="12863"/>
    <n v="1452451"/>
    <x v="1"/>
    <x v="0"/>
    <s v="No"/>
    <s v="Yes"/>
    <n v="3.2"/>
    <x v="0"/>
    <n v="12"/>
    <s v="December"/>
  </r>
  <r>
    <s v="C0552"/>
    <s v="Sneha Patel"/>
    <n v="43"/>
    <x v="0"/>
    <x v="3"/>
    <s v="Maharashtra"/>
    <s v="Mahindra"/>
    <x v="0"/>
    <x v="2"/>
    <x v="0"/>
    <s v="Manual"/>
    <d v="2026-05-16T00:00:00"/>
    <d v="2026-06-09T00:00:00"/>
    <n v="1576927"/>
    <n v="28302"/>
    <n v="1548625"/>
    <x v="0"/>
    <x v="4"/>
    <s v="Yes"/>
    <s v="No"/>
    <n v="3.3"/>
    <x v="0"/>
    <n v="6"/>
    <s v="June"/>
  </r>
  <r>
    <s v="C0553"/>
    <s v="Priya Nair"/>
    <n v="59"/>
    <x v="0"/>
    <x v="5"/>
    <s v="Tamil Nadu"/>
    <s v="Mahindra"/>
    <x v="2"/>
    <x v="4"/>
    <x v="1"/>
    <s v="Automatic"/>
    <d v="2025-07-06T00:00:00"/>
    <d v="2025-07-18T00:00:00"/>
    <n v="1372844"/>
    <n v="14389"/>
    <n v="1358455"/>
    <x v="1"/>
    <x v="1"/>
    <s v="No"/>
    <s v="Yes"/>
    <n v="4.9000000000000004"/>
    <x v="1"/>
    <n v="7"/>
    <s v="July"/>
  </r>
  <r>
    <s v="C0554"/>
    <s v="Priya Nair"/>
    <n v="59"/>
    <x v="1"/>
    <x v="1"/>
    <s v="Tamil Nadu"/>
    <s v="Mahindra"/>
    <x v="1"/>
    <x v="1"/>
    <x v="0"/>
    <s v="Automatic"/>
    <d v="2025-03-23T00:00:00"/>
    <d v="2025-04-30T00:00:00"/>
    <n v="1494557"/>
    <n v="59177"/>
    <n v="1435380"/>
    <x v="2"/>
    <x v="4"/>
    <s v="No"/>
    <s v="No"/>
    <n v="4.0999999999999996"/>
    <x v="0"/>
    <n v="4"/>
    <s v="April"/>
  </r>
  <r>
    <s v="C0555"/>
    <s v="Karthik S"/>
    <n v="25"/>
    <x v="0"/>
    <x v="5"/>
    <s v="Tamil Nadu"/>
    <s v="Mahindra"/>
    <x v="2"/>
    <x v="2"/>
    <x v="0"/>
    <s v="Manual"/>
    <d v="2025-08-13T00:00:00"/>
    <d v="2025-08-23T00:00:00"/>
    <n v="1464304"/>
    <n v="22441"/>
    <n v="1441863"/>
    <x v="1"/>
    <x v="0"/>
    <s v="No"/>
    <s v="Yes"/>
    <n v="3.4"/>
    <x v="2"/>
    <n v="8"/>
    <s v="August"/>
  </r>
  <r>
    <s v="C0556"/>
    <s v="Karthik S"/>
    <n v="23"/>
    <x v="0"/>
    <x v="3"/>
    <s v="Maharashtra"/>
    <s v="Mahindra"/>
    <x v="1"/>
    <x v="3"/>
    <x v="1"/>
    <s v="Automatic"/>
    <d v="2025-06-02T00:00:00"/>
    <d v="2025-06-28T00:00:00"/>
    <n v="1500456"/>
    <n v="81566"/>
    <n v="1418890"/>
    <x v="2"/>
    <x v="2"/>
    <s v="No"/>
    <s v="Yes"/>
    <n v="3.7"/>
    <x v="0"/>
    <n v="6"/>
    <s v="June"/>
  </r>
  <r>
    <s v="C0557"/>
    <s v="Anjali Verma"/>
    <n v="29"/>
    <x v="1"/>
    <x v="1"/>
    <s v="Tamil Nadu"/>
    <s v="Mahindra"/>
    <x v="0"/>
    <x v="4"/>
    <x v="1"/>
    <s v="Manual"/>
    <d v="2026-05-20T00:00:00"/>
    <d v="2026-07-04T00:00:00"/>
    <n v="1763646"/>
    <n v="27883"/>
    <n v="1735763"/>
    <x v="1"/>
    <x v="3"/>
    <s v="No"/>
    <s v="No"/>
    <n v="3.4"/>
    <x v="0"/>
    <n v="7"/>
    <s v="July"/>
  </r>
  <r>
    <s v="C0558"/>
    <s v="Karthik S"/>
    <n v="41"/>
    <x v="0"/>
    <x v="4"/>
    <s v="Karnataka"/>
    <s v="Mahindra"/>
    <x v="1"/>
    <x v="0"/>
    <x v="0"/>
    <s v="Manual"/>
    <d v="2026-02-28T00:00:00"/>
    <d v="2026-03-10T00:00:00"/>
    <n v="1386334"/>
    <n v="26139"/>
    <n v="1360195"/>
    <x v="4"/>
    <x v="3"/>
    <s v="No"/>
    <s v="Yes"/>
    <n v="3.7"/>
    <x v="2"/>
    <n v="3"/>
    <s v="March"/>
  </r>
  <r>
    <s v="C0559"/>
    <s v="Arjun Kumar"/>
    <n v="40"/>
    <x v="1"/>
    <x v="0"/>
    <s v="Telangana"/>
    <s v="Mahindra"/>
    <x v="1"/>
    <x v="2"/>
    <x v="0"/>
    <s v="Automatic"/>
    <d v="2025-08-08T00:00:00"/>
    <d v="2025-08-20T00:00:00"/>
    <n v="1434934"/>
    <n v="69734"/>
    <n v="1365200"/>
    <x v="3"/>
    <x v="3"/>
    <s v="Yes"/>
    <s v="Yes"/>
    <n v="4.7"/>
    <x v="1"/>
    <n v="8"/>
    <s v="August"/>
  </r>
  <r>
    <s v="C0560"/>
    <s v="Rahul Sharma"/>
    <n v="43"/>
    <x v="0"/>
    <x v="5"/>
    <s v="Tamil Nadu"/>
    <s v="Mahindra"/>
    <x v="1"/>
    <x v="2"/>
    <x v="1"/>
    <s v="Manual"/>
    <d v="2025-06-27T00:00:00"/>
    <d v="2025-08-01T00:00:00"/>
    <n v="1353677"/>
    <n v="40754"/>
    <n v="1312923"/>
    <x v="4"/>
    <x v="4"/>
    <s v="Yes"/>
    <s v="No"/>
    <n v="3.2"/>
    <x v="0"/>
    <n v="8"/>
    <s v="August"/>
  </r>
  <r>
    <s v="C0561"/>
    <s v="Rohit Singh"/>
    <n v="51"/>
    <x v="0"/>
    <x v="0"/>
    <s v="Telangana"/>
    <s v="Mahindra"/>
    <x v="1"/>
    <x v="4"/>
    <x v="1"/>
    <s v="Automatic"/>
    <d v="2026-04-02T00:00:00"/>
    <d v="2026-04-09T00:00:00"/>
    <n v="1493119"/>
    <n v="22721"/>
    <n v="1470398"/>
    <x v="0"/>
    <x v="3"/>
    <s v="Yes"/>
    <s v="No"/>
    <n v="4.8"/>
    <x v="2"/>
    <n v="4"/>
    <s v="April"/>
  </r>
  <r>
    <s v="C0562"/>
    <s v="Rohit Singh"/>
    <n v="24"/>
    <x v="0"/>
    <x v="1"/>
    <s v="Tamil Nadu"/>
    <s v="Mahindra"/>
    <x v="1"/>
    <x v="1"/>
    <x v="0"/>
    <s v="Automatic"/>
    <d v="2025-10-08T00:00:00"/>
    <d v="2025-10-22T00:00:00"/>
    <n v="1785828"/>
    <n v="82277"/>
    <n v="1703551"/>
    <x v="0"/>
    <x v="2"/>
    <s v="No"/>
    <s v="No"/>
    <n v="4.8"/>
    <x v="1"/>
    <n v="10"/>
    <s v="October"/>
  </r>
  <r>
    <s v="C0563"/>
    <s v="Pooja Das"/>
    <n v="56"/>
    <x v="1"/>
    <x v="1"/>
    <s v="Tamil Nadu"/>
    <s v="Mahindra"/>
    <x v="1"/>
    <x v="1"/>
    <x v="0"/>
    <s v="Automatic"/>
    <d v="2025-07-09T00:00:00"/>
    <d v="2025-07-28T00:00:00"/>
    <n v="1345933"/>
    <n v="15250"/>
    <n v="1330683"/>
    <x v="0"/>
    <x v="2"/>
    <s v="Yes"/>
    <s v="Yes"/>
    <n v="4.7"/>
    <x v="1"/>
    <n v="7"/>
    <s v="July"/>
  </r>
  <r>
    <s v="C0564"/>
    <s v="Rohit Singh"/>
    <n v="26"/>
    <x v="0"/>
    <x v="2"/>
    <s v="Tamil Nadu"/>
    <s v="Mahindra"/>
    <x v="2"/>
    <x v="0"/>
    <x v="0"/>
    <s v="Manual"/>
    <d v="2026-04-17T00:00:00"/>
    <d v="2026-05-06T00:00:00"/>
    <n v="1521242"/>
    <n v="76066"/>
    <n v="1445176"/>
    <x v="3"/>
    <x v="0"/>
    <s v="Yes"/>
    <s v="No"/>
    <n v="4.3"/>
    <x v="1"/>
    <n v="5"/>
    <s v="May"/>
  </r>
  <r>
    <s v="C0565"/>
    <s v="Rahul Sharma"/>
    <n v="22"/>
    <x v="0"/>
    <x v="2"/>
    <s v="Tamil Nadu"/>
    <s v="Mahindra"/>
    <x v="1"/>
    <x v="4"/>
    <x v="0"/>
    <s v="Manual"/>
    <d v="2025-12-30T00:00:00"/>
    <d v="2026-02-08T00:00:00"/>
    <n v="1889229"/>
    <n v="24252"/>
    <n v="1864977"/>
    <x v="2"/>
    <x v="1"/>
    <s v="No"/>
    <s v="No"/>
    <n v="3.9"/>
    <x v="0"/>
    <n v="2"/>
    <s v="February"/>
  </r>
  <r>
    <s v="C0566"/>
    <s v="Anjali Verma"/>
    <n v="33"/>
    <x v="0"/>
    <x v="4"/>
    <s v="Karnataka"/>
    <s v="Mahindra"/>
    <x v="1"/>
    <x v="1"/>
    <x v="0"/>
    <s v="Automatic"/>
    <d v="2025-09-19T00:00:00"/>
    <d v="2025-10-30T00:00:00"/>
    <n v="1705438"/>
    <n v="44363"/>
    <n v="1661075"/>
    <x v="3"/>
    <x v="3"/>
    <s v="Yes"/>
    <s v="Yes"/>
    <n v="5"/>
    <x v="0"/>
    <n v="10"/>
    <s v="October"/>
  </r>
  <r>
    <s v="C0567"/>
    <s v="Sneha Patel"/>
    <n v="42"/>
    <x v="1"/>
    <x v="0"/>
    <s v="Telangana"/>
    <s v="Mahindra"/>
    <x v="0"/>
    <x v="2"/>
    <x v="0"/>
    <s v="Manual"/>
    <d v="2026-06-17T00:00:00"/>
    <d v="2026-07-18T00:00:00"/>
    <n v="1361253"/>
    <n v="83119"/>
    <n v="1278134"/>
    <x v="1"/>
    <x v="1"/>
    <s v="No"/>
    <s v="No"/>
    <n v="3.1"/>
    <x v="0"/>
    <n v="7"/>
    <s v="July"/>
  </r>
  <r>
    <s v="C0568"/>
    <s v="Rahul Sharma"/>
    <n v="26"/>
    <x v="1"/>
    <x v="0"/>
    <s v="Telangana"/>
    <s v="Mahindra"/>
    <x v="1"/>
    <x v="4"/>
    <x v="0"/>
    <s v="Automatic"/>
    <d v="2025-03-27T00:00:00"/>
    <d v="2025-04-21T00:00:00"/>
    <n v="1607038"/>
    <n v="86661"/>
    <n v="1520377"/>
    <x v="2"/>
    <x v="0"/>
    <s v="No"/>
    <s v="Yes"/>
    <n v="4"/>
    <x v="0"/>
    <n v="4"/>
    <s v="April"/>
  </r>
  <r>
    <s v="C0569"/>
    <s v="Sneha Patel"/>
    <n v="36"/>
    <x v="0"/>
    <x v="3"/>
    <s v="Maharashtra"/>
    <s v="Mahindra"/>
    <x v="1"/>
    <x v="1"/>
    <x v="0"/>
    <s v="Manual"/>
    <d v="2025-06-04T00:00:00"/>
    <d v="2025-06-25T00:00:00"/>
    <n v="1304438"/>
    <n v="85664"/>
    <n v="1218774"/>
    <x v="1"/>
    <x v="1"/>
    <s v="Yes"/>
    <s v="Yes"/>
    <n v="4.2"/>
    <x v="0"/>
    <n v="6"/>
    <s v="June"/>
  </r>
  <r>
    <s v="C0570"/>
    <s v="Pooja Das"/>
    <n v="42"/>
    <x v="1"/>
    <x v="5"/>
    <s v="Tamil Nadu"/>
    <s v="Mahindra"/>
    <x v="1"/>
    <x v="1"/>
    <x v="1"/>
    <s v="Automatic"/>
    <d v="2025-12-24T00:00:00"/>
    <d v="2026-01-13T00:00:00"/>
    <n v="1317072"/>
    <n v="54540"/>
    <n v="1262532"/>
    <x v="0"/>
    <x v="2"/>
    <s v="Yes"/>
    <s v="Yes"/>
    <n v="4.2"/>
    <x v="1"/>
    <n v="1"/>
    <s v="January"/>
  </r>
  <r>
    <s v="C0571"/>
    <s v="Rahul Sharma"/>
    <n v="29"/>
    <x v="1"/>
    <x v="2"/>
    <s v="Tamil Nadu"/>
    <s v="Mahindra"/>
    <x v="1"/>
    <x v="4"/>
    <x v="1"/>
    <s v="Automatic"/>
    <d v="2025-04-09T00:00:00"/>
    <d v="2025-04-28T00:00:00"/>
    <n v="1852362"/>
    <n v="53625"/>
    <n v="1798737"/>
    <x v="2"/>
    <x v="4"/>
    <s v="No"/>
    <s v="No"/>
    <n v="3.6"/>
    <x v="1"/>
    <n v="4"/>
    <s v="April"/>
  </r>
  <r>
    <s v="C0572"/>
    <s v="Priya Nair"/>
    <n v="52"/>
    <x v="0"/>
    <x v="5"/>
    <s v="Tamil Nadu"/>
    <s v="Mahindra"/>
    <x v="1"/>
    <x v="4"/>
    <x v="1"/>
    <s v="Automatic"/>
    <d v="2025-06-28T00:00:00"/>
    <d v="2025-07-23T00:00:00"/>
    <n v="1367212"/>
    <n v="42613"/>
    <n v="1324599"/>
    <x v="2"/>
    <x v="4"/>
    <s v="Yes"/>
    <s v="No"/>
    <n v="4.8"/>
    <x v="0"/>
    <n v="7"/>
    <s v="July"/>
  </r>
  <r>
    <s v="C0573"/>
    <s v="Sneha Patel"/>
    <n v="27"/>
    <x v="1"/>
    <x v="0"/>
    <s v="Telangana"/>
    <s v="Mahindra"/>
    <x v="2"/>
    <x v="2"/>
    <x v="0"/>
    <s v="Automatic"/>
    <d v="2025-02-16T00:00:00"/>
    <d v="2025-03-06T00:00:00"/>
    <n v="1703193"/>
    <n v="54322"/>
    <n v="1648871"/>
    <x v="0"/>
    <x v="0"/>
    <s v="Yes"/>
    <s v="No"/>
    <n v="3.7"/>
    <x v="1"/>
    <n v="3"/>
    <s v="March"/>
  </r>
  <r>
    <s v="C0574"/>
    <s v="Arjun Kumar"/>
    <n v="29"/>
    <x v="1"/>
    <x v="5"/>
    <s v="Tamil Nadu"/>
    <s v="Mahindra"/>
    <x v="0"/>
    <x v="1"/>
    <x v="0"/>
    <s v="Automatic"/>
    <d v="2025-05-02T00:00:00"/>
    <d v="2025-06-12T00:00:00"/>
    <n v="1528752"/>
    <n v="10243"/>
    <n v="1518509"/>
    <x v="1"/>
    <x v="2"/>
    <s v="Yes"/>
    <s v="No"/>
    <n v="3.4"/>
    <x v="0"/>
    <n v="6"/>
    <s v="June"/>
  </r>
  <r>
    <s v="C0575"/>
    <s v="Karthik S"/>
    <n v="53"/>
    <x v="1"/>
    <x v="4"/>
    <s v="Karnataka"/>
    <s v="Mahindra"/>
    <x v="0"/>
    <x v="3"/>
    <x v="0"/>
    <s v="Automatic"/>
    <d v="2025-01-11T00:00:00"/>
    <d v="2025-02-08T00:00:00"/>
    <n v="1779108"/>
    <n v="22079"/>
    <n v="1757029"/>
    <x v="2"/>
    <x v="4"/>
    <s v="Yes"/>
    <s v="No"/>
    <n v="3.5"/>
    <x v="0"/>
    <n v="2"/>
    <s v="February"/>
  </r>
  <r>
    <s v="C0576"/>
    <s v="Rahul Sharma"/>
    <n v="38"/>
    <x v="0"/>
    <x v="4"/>
    <s v="Karnataka"/>
    <s v="Mahindra"/>
    <x v="2"/>
    <x v="0"/>
    <x v="1"/>
    <s v="Automatic"/>
    <d v="2026-03-04T00:00:00"/>
    <d v="2026-03-20T00:00:00"/>
    <n v="1841587"/>
    <n v="49091"/>
    <n v="1792496"/>
    <x v="4"/>
    <x v="3"/>
    <s v="No"/>
    <s v="Yes"/>
    <n v="4.9000000000000004"/>
    <x v="1"/>
    <n v="3"/>
    <s v="March"/>
  </r>
  <r>
    <s v="C0577"/>
    <s v="Rohit Singh"/>
    <n v="26"/>
    <x v="1"/>
    <x v="4"/>
    <s v="Karnataka"/>
    <s v="Mahindra"/>
    <x v="1"/>
    <x v="0"/>
    <x v="1"/>
    <s v="Manual"/>
    <d v="2025-05-25T00:00:00"/>
    <d v="2025-06-06T00:00:00"/>
    <n v="1595043"/>
    <n v="20152"/>
    <n v="1574891"/>
    <x v="4"/>
    <x v="4"/>
    <s v="Yes"/>
    <s v="Yes"/>
    <n v="3.9"/>
    <x v="1"/>
    <n v="6"/>
    <s v="June"/>
  </r>
  <r>
    <s v="C0578"/>
    <s v="Meera Iyer"/>
    <n v="27"/>
    <x v="0"/>
    <x v="5"/>
    <s v="Tamil Nadu"/>
    <s v="Mahindra"/>
    <x v="2"/>
    <x v="4"/>
    <x v="0"/>
    <s v="Manual"/>
    <d v="2025-07-07T00:00:00"/>
    <d v="2025-08-19T00:00:00"/>
    <n v="1512237"/>
    <n v="88183"/>
    <n v="1424054"/>
    <x v="4"/>
    <x v="2"/>
    <s v="Yes"/>
    <s v="No"/>
    <n v="4.8"/>
    <x v="0"/>
    <n v="8"/>
    <s v="August"/>
  </r>
  <r>
    <s v="C0579"/>
    <s v="Rahul Sharma"/>
    <n v="58"/>
    <x v="0"/>
    <x v="4"/>
    <s v="Karnataka"/>
    <s v="Mahindra"/>
    <x v="0"/>
    <x v="1"/>
    <x v="0"/>
    <s v="Automatic"/>
    <d v="2025-11-07T00:00:00"/>
    <d v="2025-12-06T00:00:00"/>
    <n v="1699724"/>
    <n v="55801"/>
    <n v="1643923"/>
    <x v="1"/>
    <x v="4"/>
    <s v="Yes"/>
    <s v="Yes"/>
    <n v="4.0999999999999996"/>
    <x v="0"/>
    <n v="12"/>
    <s v="December"/>
  </r>
  <r>
    <s v="C0580"/>
    <s v="Rahul Sharma"/>
    <n v="33"/>
    <x v="1"/>
    <x v="5"/>
    <s v="Tamil Nadu"/>
    <s v="Mahindra"/>
    <x v="1"/>
    <x v="3"/>
    <x v="1"/>
    <s v="Automatic"/>
    <d v="2025-06-08T00:00:00"/>
    <d v="2025-07-06T00:00:00"/>
    <n v="1755171"/>
    <n v="79527"/>
    <n v="1675644"/>
    <x v="2"/>
    <x v="2"/>
    <s v="Yes"/>
    <s v="Yes"/>
    <n v="3.2"/>
    <x v="0"/>
    <n v="7"/>
    <s v="July"/>
  </r>
  <r>
    <s v="C0581"/>
    <s v="Sneha Patel"/>
    <n v="38"/>
    <x v="1"/>
    <x v="0"/>
    <s v="Telangana"/>
    <s v="Mahindra"/>
    <x v="0"/>
    <x v="1"/>
    <x v="0"/>
    <s v="Automatic"/>
    <d v="2025-12-22T00:00:00"/>
    <d v="2026-01-06T00:00:00"/>
    <n v="1844180"/>
    <n v="17436"/>
    <n v="1826744"/>
    <x v="3"/>
    <x v="4"/>
    <s v="No"/>
    <s v="Yes"/>
    <n v="4.8"/>
    <x v="1"/>
    <n v="1"/>
    <s v="January"/>
  </r>
  <r>
    <s v="C0582"/>
    <s v="Rohit Singh"/>
    <n v="36"/>
    <x v="0"/>
    <x v="5"/>
    <s v="Tamil Nadu"/>
    <s v="Mahindra"/>
    <x v="0"/>
    <x v="4"/>
    <x v="0"/>
    <s v="Manual"/>
    <d v="2025-01-02T00:00:00"/>
    <d v="2025-01-13T00:00:00"/>
    <n v="1727035"/>
    <n v="65242"/>
    <n v="1661793"/>
    <x v="3"/>
    <x v="0"/>
    <s v="Yes"/>
    <s v="No"/>
    <n v="4.9000000000000004"/>
    <x v="1"/>
    <n v="1"/>
    <s v="January"/>
  </r>
  <r>
    <s v="C0583"/>
    <s v="Vikram Rao"/>
    <n v="29"/>
    <x v="0"/>
    <x v="4"/>
    <s v="Karnataka"/>
    <s v="Mahindra"/>
    <x v="1"/>
    <x v="2"/>
    <x v="1"/>
    <s v="Automatic"/>
    <d v="2026-04-08T00:00:00"/>
    <d v="2026-04-23T00:00:00"/>
    <n v="1447864"/>
    <n v="19069"/>
    <n v="1428795"/>
    <x v="2"/>
    <x v="4"/>
    <s v="No"/>
    <s v="Yes"/>
    <n v="4.8"/>
    <x v="1"/>
    <n v="4"/>
    <s v="April"/>
  </r>
  <r>
    <s v="C0584"/>
    <s v="Vikram Rao"/>
    <n v="58"/>
    <x v="1"/>
    <x v="1"/>
    <s v="Tamil Nadu"/>
    <s v="Mahindra"/>
    <x v="2"/>
    <x v="2"/>
    <x v="0"/>
    <s v="Manual"/>
    <d v="2026-01-29T00:00:00"/>
    <d v="2026-02-13T00:00:00"/>
    <n v="1329144"/>
    <n v="52779"/>
    <n v="1276365"/>
    <x v="3"/>
    <x v="4"/>
    <s v="No"/>
    <s v="No"/>
    <n v="3.9"/>
    <x v="1"/>
    <n v="2"/>
    <s v="February"/>
  </r>
  <r>
    <s v="C0585"/>
    <s v="Vikram Rao"/>
    <n v="53"/>
    <x v="0"/>
    <x v="5"/>
    <s v="Tamil Nadu"/>
    <s v="Mahindra"/>
    <x v="1"/>
    <x v="3"/>
    <x v="1"/>
    <s v="Manual"/>
    <d v="2026-02-06T00:00:00"/>
    <d v="2026-03-11T00:00:00"/>
    <n v="1641738"/>
    <n v="41461"/>
    <n v="1600277"/>
    <x v="0"/>
    <x v="2"/>
    <s v="No"/>
    <s v="Yes"/>
    <n v="4.0999999999999996"/>
    <x v="0"/>
    <n v="3"/>
    <s v="March"/>
  </r>
  <r>
    <s v="C0586"/>
    <s v="Sneha Patel"/>
    <n v="35"/>
    <x v="0"/>
    <x v="5"/>
    <s v="Tamil Nadu"/>
    <s v="Mahindra"/>
    <x v="0"/>
    <x v="0"/>
    <x v="0"/>
    <s v="Manual"/>
    <d v="2025-11-06T00:00:00"/>
    <d v="2025-12-07T00:00:00"/>
    <n v="1667272"/>
    <n v="70749"/>
    <n v="1596523"/>
    <x v="4"/>
    <x v="1"/>
    <s v="No"/>
    <s v="Yes"/>
    <n v="4.2"/>
    <x v="0"/>
    <n v="12"/>
    <s v="December"/>
  </r>
  <r>
    <s v="C0587"/>
    <s v="Anjali Verma"/>
    <n v="42"/>
    <x v="0"/>
    <x v="1"/>
    <s v="Tamil Nadu"/>
    <s v="Mahindra"/>
    <x v="0"/>
    <x v="1"/>
    <x v="1"/>
    <s v="Automatic"/>
    <d v="2026-03-07T00:00:00"/>
    <d v="2026-04-08T00:00:00"/>
    <n v="1724912"/>
    <n v="50430"/>
    <n v="1674482"/>
    <x v="3"/>
    <x v="2"/>
    <s v="Yes"/>
    <s v="No"/>
    <n v="4.7"/>
    <x v="0"/>
    <n v="4"/>
    <s v="April"/>
  </r>
  <r>
    <s v="C0588"/>
    <s v="Rahul Sharma"/>
    <n v="48"/>
    <x v="1"/>
    <x v="3"/>
    <s v="Maharashtra"/>
    <s v="Mahindra"/>
    <x v="1"/>
    <x v="4"/>
    <x v="1"/>
    <s v="Automatic"/>
    <d v="2025-01-17T00:00:00"/>
    <d v="2025-01-27T00:00:00"/>
    <n v="1507653"/>
    <n v="45938"/>
    <n v="1461715"/>
    <x v="1"/>
    <x v="3"/>
    <s v="No"/>
    <s v="Yes"/>
    <n v="4"/>
    <x v="2"/>
    <n v="1"/>
    <s v="January"/>
  </r>
  <r>
    <s v="C0589"/>
    <s v="Karthik S"/>
    <n v="31"/>
    <x v="0"/>
    <x v="0"/>
    <s v="Telangana"/>
    <s v="Mahindra"/>
    <x v="1"/>
    <x v="0"/>
    <x v="0"/>
    <s v="Manual"/>
    <d v="2025-12-14T00:00:00"/>
    <d v="2026-01-16T00:00:00"/>
    <n v="1737957"/>
    <n v="70023"/>
    <n v="1667934"/>
    <x v="2"/>
    <x v="2"/>
    <s v="No"/>
    <s v="No"/>
    <n v="4.8"/>
    <x v="0"/>
    <n v="1"/>
    <s v="January"/>
  </r>
  <r>
    <s v="C0590"/>
    <s v="Arjun Kumar"/>
    <n v="60"/>
    <x v="1"/>
    <x v="5"/>
    <s v="Tamil Nadu"/>
    <s v="Mahindra"/>
    <x v="1"/>
    <x v="2"/>
    <x v="0"/>
    <s v="Automatic"/>
    <d v="2025-05-06T00:00:00"/>
    <d v="2025-06-12T00:00:00"/>
    <n v="1896494"/>
    <n v="54881"/>
    <n v="1841613"/>
    <x v="2"/>
    <x v="0"/>
    <s v="No"/>
    <s v="Yes"/>
    <n v="3.7"/>
    <x v="0"/>
    <n v="6"/>
    <s v="June"/>
  </r>
  <r>
    <s v="C0591"/>
    <s v="Karthik S"/>
    <n v="46"/>
    <x v="1"/>
    <x v="0"/>
    <s v="Telangana"/>
    <s v="Mahindra"/>
    <x v="0"/>
    <x v="0"/>
    <x v="1"/>
    <s v="Automatic"/>
    <d v="2026-01-01T00:00:00"/>
    <d v="2026-01-13T00:00:00"/>
    <n v="1701070"/>
    <n v="69629"/>
    <n v="1631441"/>
    <x v="3"/>
    <x v="0"/>
    <s v="Yes"/>
    <s v="No"/>
    <n v="4.4000000000000004"/>
    <x v="1"/>
    <n v="1"/>
    <s v="January"/>
  </r>
  <r>
    <s v="C0592"/>
    <s v="Rohit Singh"/>
    <n v="24"/>
    <x v="0"/>
    <x v="0"/>
    <s v="Telangana"/>
    <s v="Mahindra"/>
    <x v="1"/>
    <x v="0"/>
    <x v="0"/>
    <s v="Manual"/>
    <d v="2026-04-11T00:00:00"/>
    <d v="2026-05-03T00:00:00"/>
    <n v="1569656"/>
    <n v="11707"/>
    <n v="1557949"/>
    <x v="3"/>
    <x v="1"/>
    <s v="No"/>
    <s v="No"/>
    <n v="4.9000000000000004"/>
    <x v="0"/>
    <n v="5"/>
    <s v="May"/>
  </r>
  <r>
    <s v="C0593"/>
    <s v="Vikram Rao"/>
    <n v="22"/>
    <x v="1"/>
    <x v="2"/>
    <s v="Tamil Nadu"/>
    <s v="Mahindra"/>
    <x v="1"/>
    <x v="0"/>
    <x v="1"/>
    <s v="Automatic"/>
    <d v="2025-11-28T00:00:00"/>
    <d v="2025-12-14T00:00:00"/>
    <n v="1590940"/>
    <n v="89737"/>
    <n v="1501203"/>
    <x v="4"/>
    <x v="2"/>
    <s v="No"/>
    <s v="Yes"/>
    <n v="4.3"/>
    <x v="1"/>
    <n v="12"/>
    <s v="December"/>
  </r>
  <r>
    <s v="C0594"/>
    <s v="Priya Nair"/>
    <n v="41"/>
    <x v="0"/>
    <x v="3"/>
    <s v="Maharashtra"/>
    <s v="Mahindra"/>
    <x v="1"/>
    <x v="3"/>
    <x v="1"/>
    <s v="Automatic"/>
    <d v="2025-05-10T00:00:00"/>
    <d v="2025-06-22T00:00:00"/>
    <n v="1860958"/>
    <n v="82487"/>
    <n v="1778471"/>
    <x v="4"/>
    <x v="3"/>
    <s v="Yes"/>
    <s v="No"/>
    <n v="3.9"/>
    <x v="0"/>
    <n v="6"/>
    <s v="June"/>
  </r>
  <r>
    <s v="C0595"/>
    <s v="Anjali Verma"/>
    <n v="29"/>
    <x v="1"/>
    <x v="5"/>
    <s v="Tamil Nadu"/>
    <s v="Mahindra"/>
    <x v="1"/>
    <x v="4"/>
    <x v="1"/>
    <s v="Automatic"/>
    <d v="2025-01-12T00:00:00"/>
    <d v="2025-02-09T00:00:00"/>
    <n v="1859710"/>
    <n v="32844"/>
    <n v="1826866"/>
    <x v="2"/>
    <x v="1"/>
    <s v="Yes"/>
    <s v="No"/>
    <n v="3.2"/>
    <x v="0"/>
    <n v="2"/>
    <s v="February"/>
  </r>
  <r>
    <s v="C0596"/>
    <s v="Sneha Patel"/>
    <n v="29"/>
    <x v="1"/>
    <x v="2"/>
    <s v="Tamil Nadu"/>
    <s v="Mahindra"/>
    <x v="1"/>
    <x v="3"/>
    <x v="1"/>
    <s v="Manual"/>
    <d v="2026-05-30T00:00:00"/>
    <d v="2026-06-28T00:00:00"/>
    <n v="1708477"/>
    <n v="57830"/>
    <n v="1650647"/>
    <x v="0"/>
    <x v="4"/>
    <s v="Yes"/>
    <s v="Yes"/>
    <n v="3.5"/>
    <x v="0"/>
    <n v="6"/>
    <s v="June"/>
  </r>
  <r>
    <s v="C0597"/>
    <s v="Arjun Kumar"/>
    <n v="21"/>
    <x v="0"/>
    <x v="5"/>
    <s v="Tamil Nadu"/>
    <s v="Mahindra"/>
    <x v="2"/>
    <x v="4"/>
    <x v="1"/>
    <s v="Manual"/>
    <d v="2026-05-05T00:00:00"/>
    <d v="2026-06-10T00:00:00"/>
    <n v="1638793"/>
    <n v="38024"/>
    <n v="1600769"/>
    <x v="2"/>
    <x v="3"/>
    <s v="Yes"/>
    <s v="Yes"/>
    <n v="4.7"/>
    <x v="0"/>
    <n v="6"/>
    <s v="June"/>
  </r>
  <r>
    <s v="C0598"/>
    <s v="Karthik S"/>
    <n v="28"/>
    <x v="0"/>
    <x v="4"/>
    <s v="Karnataka"/>
    <s v="Mahindra"/>
    <x v="0"/>
    <x v="3"/>
    <x v="1"/>
    <s v="Automatic"/>
    <d v="2025-06-06T00:00:00"/>
    <d v="2025-06-22T00:00:00"/>
    <n v="1752704"/>
    <n v="50311"/>
    <n v="1702393"/>
    <x v="3"/>
    <x v="3"/>
    <s v="Yes"/>
    <s v="Yes"/>
    <n v="4.4000000000000004"/>
    <x v="1"/>
    <n v="6"/>
    <s v="June"/>
  </r>
  <r>
    <s v="C0599"/>
    <s v="Arjun Kumar"/>
    <n v="38"/>
    <x v="0"/>
    <x v="0"/>
    <s v="Telangana"/>
    <s v="Mahindra"/>
    <x v="0"/>
    <x v="4"/>
    <x v="1"/>
    <s v="Automatic"/>
    <d v="2025-08-24T00:00:00"/>
    <d v="2025-09-04T00:00:00"/>
    <n v="1612567"/>
    <n v="12276"/>
    <n v="1600291"/>
    <x v="4"/>
    <x v="2"/>
    <s v="Yes"/>
    <s v="Yes"/>
    <n v="3.2"/>
    <x v="1"/>
    <n v="9"/>
    <s v="September"/>
  </r>
  <r>
    <s v="C0600"/>
    <s v="Anjali Verma"/>
    <n v="27"/>
    <x v="0"/>
    <x v="4"/>
    <s v="Karnataka"/>
    <s v="Mahindra"/>
    <x v="1"/>
    <x v="1"/>
    <x v="1"/>
    <s v="Automatic"/>
    <d v="2025-02-10T00:00:00"/>
    <d v="2025-03-01T00:00:00"/>
    <n v="1629175"/>
    <n v="88183"/>
    <n v="1540992"/>
    <x v="4"/>
    <x v="2"/>
    <s v="Yes"/>
    <s v="Yes"/>
    <n v="3.9"/>
    <x v="1"/>
    <n v="3"/>
    <s v="March"/>
  </r>
  <r>
    <s v="C0601"/>
    <s v="Anjali Verma"/>
    <n v="21"/>
    <x v="0"/>
    <x v="4"/>
    <s v="Karnataka"/>
    <s v="Mahindra"/>
    <x v="2"/>
    <x v="1"/>
    <x v="0"/>
    <s v="Manual"/>
    <d v="2025-06-01T00:00:00"/>
    <d v="2025-07-05T00:00:00"/>
    <n v="1439131"/>
    <n v="23486"/>
    <n v="1415645"/>
    <x v="0"/>
    <x v="0"/>
    <s v="No"/>
    <s v="No"/>
    <n v="4"/>
    <x v="0"/>
    <n v="7"/>
    <s v="July"/>
  </r>
  <r>
    <s v="C0602"/>
    <s v="Anjali Verma"/>
    <n v="46"/>
    <x v="1"/>
    <x v="3"/>
    <s v="Maharashtra"/>
    <s v="Mahindra"/>
    <x v="1"/>
    <x v="4"/>
    <x v="0"/>
    <s v="Automatic"/>
    <d v="2025-05-04T00:00:00"/>
    <d v="2025-05-22T00:00:00"/>
    <n v="1572888"/>
    <n v="93514"/>
    <n v="1479374"/>
    <x v="3"/>
    <x v="4"/>
    <s v="No"/>
    <s v="Yes"/>
    <n v="3.1"/>
    <x v="1"/>
    <n v="5"/>
    <s v="May"/>
  </r>
  <r>
    <s v="C0603"/>
    <s v="Pooja Das"/>
    <n v="51"/>
    <x v="0"/>
    <x v="0"/>
    <s v="Telangana"/>
    <s v="Mahindra"/>
    <x v="2"/>
    <x v="0"/>
    <x v="0"/>
    <s v="Automatic"/>
    <d v="2026-03-25T00:00:00"/>
    <d v="2026-04-06T00:00:00"/>
    <n v="1767533"/>
    <n v="32803"/>
    <n v="1734730"/>
    <x v="2"/>
    <x v="3"/>
    <s v="No"/>
    <s v="No"/>
    <n v="3"/>
    <x v="1"/>
    <n v="4"/>
    <s v="April"/>
  </r>
  <r>
    <s v="C0604"/>
    <s v="Vikram Rao"/>
    <n v="44"/>
    <x v="1"/>
    <x v="2"/>
    <s v="Tamil Nadu"/>
    <s v="Mahindra"/>
    <x v="1"/>
    <x v="2"/>
    <x v="1"/>
    <s v="Automatic"/>
    <d v="2025-01-08T00:00:00"/>
    <d v="2025-01-26T00:00:00"/>
    <n v="1505329"/>
    <n v="30101"/>
    <n v="1475228"/>
    <x v="2"/>
    <x v="3"/>
    <s v="No"/>
    <s v="No"/>
    <n v="3.5"/>
    <x v="1"/>
    <n v="1"/>
    <s v="January"/>
  </r>
  <r>
    <s v="C0605"/>
    <s v="Priya Nair"/>
    <n v="28"/>
    <x v="0"/>
    <x v="0"/>
    <s v="Telangana"/>
    <s v="Mahindra"/>
    <x v="0"/>
    <x v="2"/>
    <x v="0"/>
    <s v="Manual"/>
    <d v="2026-02-19T00:00:00"/>
    <d v="2026-03-17T00:00:00"/>
    <n v="1705777"/>
    <n v="24331"/>
    <n v="1681446"/>
    <x v="1"/>
    <x v="4"/>
    <s v="No"/>
    <s v="Yes"/>
    <n v="3.1"/>
    <x v="0"/>
    <n v="3"/>
    <s v="March"/>
  </r>
  <r>
    <s v="C0606"/>
    <s v="Sneha Patel"/>
    <n v="42"/>
    <x v="1"/>
    <x v="0"/>
    <s v="Telangana"/>
    <s v="Mahindra"/>
    <x v="0"/>
    <x v="3"/>
    <x v="0"/>
    <s v="Manual"/>
    <d v="2025-10-17T00:00:00"/>
    <d v="2025-11-14T00:00:00"/>
    <n v="1717261"/>
    <n v="64194"/>
    <n v="1653067"/>
    <x v="3"/>
    <x v="0"/>
    <s v="No"/>
    <s v="No"/>
    <n v="3.6"/>
    <x v="0"/>
    <n v="11"/>
    <s v="November"/>
  </r>
  <r>
    <s v="C0607"/>
    <s v="Rahul Sharma"/>
    <n v="29"/>
    <x v="1"/>
    <x v="2"/>
    <s v="Tamil Nadu"/>
    <s v="Mahindra"/>
    <x v="1"/>
    <x v="0"/>
    <x v="1"/>
    <s v="Automatic"/>
    <d v="2025-05-08T00:00:00"/>
    <d v="2025-05-18T00:00:00"/>
    <n v="1859934"/>
    <n v="36672"/>
    <n v="1823262"/>
    <x v="1"/>
    <x v="1"/>
    <s v="No"/>
    <s v="Yes"/>
    <n v="4.4000000000000004"/>
    <x v="2"/>
    <n v="5"/>
    <s v="May"/>
  </r>
  <r>
    <s v="C0608"/>
    <s v="Vikram Rao"/>
    <n v="29"/>
    <x v="1"/>
    <x v="4"/>
    <s v="Karnataka"/>
    <s v="Mahindra"/>
    <x v="1"/>
    <x v="3"/>
    <x v="1"/>
    <s v="Automatic"/>
    <d v="2026-03-26T00:00:00"/>
    <d v="2026-05-03T00:00:00"/>
    <n v="1325474"/>
    <n v="30957"/>
    <n v="1294517"/>
    <x v="4"/>
    <x v="1"/>
    <s v="No"/>
    <s v="No"/>
    <n v="4.7"/>
    <x v="0"/>
    <n v="5"/>
    <s v="May"/>
  </r>
  <r>
    <s v="C0609"/>
    <s v="Rohit Singh"/>
    <n v="39"/>
    <x v="1"/>
    <x v="3"/>
    <s v="Maharashtra"/>
    <s v="Mahindra"/>
    <x v="2"/>
    <x v="4"/>
    <x v="0"/>
    <s v="Automatic"/>
    <d v="2025-01-18T00:00:00"/>
    <d v="2025-02-28T00:00:00"/>
    <n v="1310378"/>
    <n v="81554"/>
    <n v="1228824"/>
    <x v="3"/>
    <x v="4"/>
    <s v="No"/>
    <s v="No"/>
    <n v="4"/>
    <x v="0"/>
    <n v="2"/>
    <s v="February"/>
  </r>
  <r>
    <s v="C0610"/>
    <s v="Vikram Rao"/>
    <n v="22"/>
    <x v="1"/>
    <x v="1"/>
    <s v="Tamil Nadu"/>
    <s v="Mahindra"/>
    <x v="0"/>
    <x v="3"/>
    <x v="0"/>
    <s v="Manual"/>
    <d v="2026-01-19T00:00:00"/>
    <d v="2026-01-27T00:00:00"/>
    <n v="1588126"/>
    <n v="40293"/>
    <n v="1547833"/>
    <x v="3"/>
    <x v="2"/>
    <s v="No"/>
    <s v="No"/>
    <n v="4"/>
    <x v="2"/>
    <n v="1"/>
    <s v="January"/>
  </r>
  <r>
    <s v="C0611"/>
    <s v="Rohit Singh"/>
    <n v="38"/>
    <x v="1"/>
    <x v="4"/>
    <s v="Karnataka"/>
    <s v="Mahindra"/>
    <x v="0"/>
    <x v="2"/>
    <x v="0"/>
    <s v="Manual"/>
    <d v="2025-01-05T00:00:00"/>
    <d v="2025-02-13T00:00:00"/>
    <n v="1321657"/>
    <n v="40171"/>
    <n v="1281486"/>
    <x v="1"/>
    <x v="3"/>
    <s v="Yes"/>
    <s v="Yes"/>
    <n v="3.7"/>
    <x v="0"/>
    <n v="2"/>
    <s v="February"/>
  </r>
  <r>
    <s v="C0612"/>
    <s v="Vikram Rao"/>
    <n v="32"/>
    <x v="0"/>
    <x v="5"/>
    <s v="Tamil Nadu"/>
    <s v="Mahindra"/>
    <x v="1"/>
    <x v="4"/>
    <x v="1"/>
    <s v="Manual"/>
    <d v="2025-03-04T00:00:00"/>
    <d v="2025-03-21T00:00:00"/>
    <n v="1694490"/>
    <n v="84360"/>
    <n v="1610130"/>
    <x v="4"/>
    <x v="4"/>
    <s v="No"/>
    <s v="Yes"/>
    <n v="4.7"/>
    <x v="1"/>
    <n v="3"/>
    <s v="March"/>
  </r>
  <r>
    <s v="C0613"/>
    <s v="Anjali Verma"/>
    <n v="52"/>
    <x v="0"/>
    <x v="1"/>
    <s v="Tamil Nadu"/>
    <s v="Mahindra"/>
    <x v="0"/>
    <x v="3"/>
    <x v="1"/>
    <s v="Automatic"/>
    <d v="2026-01-05T00:00:00"/>
    <d v="2026-02-12T00:00:00"/>
    <n v="1401867"/>
    <n v="60096"/>
    <n v="1341771"/>
    <x v="3"/>
    <x v="0"/>
    <s v="No"/>
    <s v="No"/>
    <n v="3.2"/>
    <x v="0"/>
    <n v="2"/>
    <s v="February"/>
  </r>
  <r>
    <s v="C0614"/>
    <s v="Vikram Rao"/>
    <n v="49"/>
    <x v="1"/>
    <x v="5"/>
    <s v="Tamil Nadu"/>
    <s v="Mahindra"/>
    <x v="1"/>
    <x v="1"/>
    <x v="1"/>
    <s v="Automatic"/>
    <d v="2026-03-05T00:00:00"/>
    <d v="2026-04-16T00:00:00"/>
    <n v="1859968"/>
    <n v="85483"/>
    <n v="1774485"/>
    <x v="0"/>
    <x v="0"/>
    <s v="No"/>
    <s v="Yes"/>
    <n v="3.5"/>
    <x v="0"/>
    <n v="4"/>
    <s v="April"/>
  </r>
  <r>
    <s v="C0615"/>
    <s v="Meera Iyer"/>
    <n v="58"/>
    <x v="1"/>
    <x v="2"/>
    <s v="Tamil Nadu"/>
    <s v="Mahindra"/>
    <x v="2"/>
    <x v="2"/>
    <x v="1"/>
    <s v="Manual"/>
    <d v="2025-09-02T00:00:00"/>
    <d v="2025-10-08T00:00:00"/>
    <n v="1358110"/>
    <n v="50694"/>
    <n v="1307416"/>
    <x v="0"/>
    <x v="1"/>
    <s v="No"/>
    <s v="No"/>
    <n v="3.6"/>
    <x v="0"/>
    <n v="10"/>
    <s v="October"/>
  </r>
  <r>
    <s v="C0616"/>
    <s v="Rahul Sharma"/>
    <n v="50"/>
    <x v="1"/>
    <x v="4"/>
    <s v="Karnataka"/>
    <s v="Mahindra"/>
    <x v="1"/>
    <x v="4"/>
    <x v="0"/>
    <s v="Automatic"/>
    <d v="2026-04-20T00:00:00"/>
    <d v="2026-05-18T00:00:00"/>
    <n v="1814381"/>
    <n v="10033"/>
    <n v="1804348"/>
    <x v="1"/>
    <x v="4"/>
    <s v="No"/>
    <s v="No"/>
    <n v="4"/>
    <x v="0"/>
    <n v="5"/>
    <s v="May"/>
  </r>
  <r>
    <s v="C0617"/>
    <s v="Sneha Patel"/>
    <n v="41"/>
    <x v="0"/>
    <x v="3"/>
    <s v="Maharashtra"/>
    <s v="Mahindra"/>
    <x v="1"/>
    <x v="4"/>
    <x v="0"/>
    <s v="Manual"/>
    <d v="2025-08-23T00:00:00"/>
    <d v="2025-08-30T00:00:00"/>
    <n v="1860663"/>
    <n v="94805"/>
    <n v="1765858"/>
    <x v="2"/>
    <x v="3"/>
    <s v="No"/>
    <s v="No"/>
    <n v="4.8"/>
    <x v="2"/>
    <n v="8"/>
    <s v="August"/>
  </r>
  <r>
    <s v="C0618"/>
    <s v="Rohit Singh"/>
    <n v="24"/>
    <x v="1"/>
    <x v="1"/>
    <s v="Tamil Nadu"/>
    <s v="Mahindra"/>
    <x v="2"/>
    <x v="0"/>
    <x v="1"/>
    <s v="Manual"/>
    <d v="2026-03-25T00:00:00"/>
    <d v="2026-05-06T00:00:00"/>
    <n v="1533396"/>
    <n v="49853"/>
    <n v="1483543"/>
    <x v="1"/>
    <x v="1"/>
    <s v="No"/>
    <s v="Yes"/>
    <n v="3.5"/>
    <x v="0"/>
    <n v="5"/>
    <s v="May"/>
  </r>
  <r>
    <s v="C0619"/>
    <s v="Anjali Verma"/>
    <n v="28"/>
    <x v="1"/>
    <x v="0"/>
    <s v="Telangana"/>
    <s v="Mahindra"/>
    <x v="1"/>
    <x v="4"/>
    <x v="0"/>
    <s v="Manual"/>
    <d v="2025-03-03T00:00:00"/>
    <d v="2025-04-11T00:00:00"/>
    <n v="1584809"/>
    <n v="38969"/>
    <n v="1545840"/>
    <x v="0"/>
    <x v="0"/>
    <s v="No"/>
    <s v="No"/>
    <n v="4.7"/>
    <x v="0"/>
    <n v="4"/>
    <s v="April"/>
  </r>
  <r>
    <s v="C0620"/>
    <s v="Sneha Patel"/>
    <n v="29"/>
    <x v="0"/>
    <x v="2"/>
    <s v="Tamil Nadu"/>
    <s v="Mahindra"/>
    <x v="1"/>
    <x v="0"/>
    <x v="1"/>
    <s v="Automatic"/>
    <d v="2026-01-15T00:00:00"/>
    <d v="2026-02-02T00:00:00"/>
    <n v="1387984"/>
    <n v="18787"/>
    <n v="1369197"/>
    <x v="3"/>
    <x v="0"/>
    <s v="Yes"/>
    <s v="Yes"/>
    <n v="3.4"/>
    <x v="1"/>
    <n v="2"/>
    <s v="February"/>
  </r>
  <r>
    <s v="C0621"/>
    <s v="Vikram Rao"/>
    <n v="57"/>
    <x v="0"/>
    <x v="4"/>
    <s v="Karnataka"/>
    <s v="Mahindra"/>
    <x v="0"/>
    <x v="3"/>
    <x v="1"/>
    <s v="Manual"/>
    <d v="2025-02-28T00:00:00"/>
    <d v="2025-04-12T00:00:00"/>
    <n v="1340480"/>
    <n v="67747"/>
    <n v="1272733"/>
    <x v="0"/>
    <x v="1"/>
    <s v="No"/>
    <s v="No"/>
    <n v="4"/>
    <x v="0"/>
    <n v="4"/>
    <s v="April"/>
  </r>
  <r>
    <s v="C0622"/>
    <s v="Rohit Singh"/>
    <n v="40"/>
    <x v="1"/>
    <x v="4"/>
    <s v="Karnataka"/>
    <s v="Mahindra"/>
    <x v="2"/>
    <x v="3"/>
    <x v="0"/>
    <s v="Automatic"/>
    <d v="2025-01-17T00:00:00"/>
    <d v="2025-02-28T00:00:00"/>
    <n v="1419381"/>
    <n v="48353"/>
    <n v="1371028"/>
    <x v="0"/>
    <x v="4"/>
    <s v="Yes"/>
    <s v="Yes"/>
    <n v="3.2"/>
    <x v="0"/>
    <n v="2"/>
    <s v="February"/>
  </r>
  <r>
    <s v="C0623"/>
    <s v="Priya Nair"/>
    <n v="43"/>
    <x v="1"/>
    <x v="1"/>
    <s v="Tamil Nadu"/>
    <s v="Mahindra"/>
    <x v="0"/>
    <x v="2"/>
    <x v="1"/>
    <s v="Automatic"/>
    <d v="2026-04-02T00:00:00"/>
    <d v="2026-04-17T00:00:00"/>
    <n v="1526978"/>
    <n v="33004"/>
    <n v="1493974"/>
    <x v="2"/>
    <x v="3"/>
    <s v="No"/>
    <s v="No"/>
    <n v="3.2"/>
    <x v="1"/>
    <n v="4"/>
    <s v="April"/>
  </r>
  <r>
    <s v="C0624"/>
    <s v="Pooja Das"/>
    <n v="43"/>
    <x v="1"/>
    <x v="2"/>
    <s v="Tamil Nadu"/>
    <s v="Mahindra"/>
    <x v="0"/>
    <x v="0"/>
    <x v="0"/>
    <s v="Automatic"/>
    <d v="2025-08-06T00:00:00"/>
    <d v="2025-08-17T00:00:00"/>
    <n v="1522990"/>
    <n v="44536"/>
    <n v="1478454"/>
    <x v="2"/>
    <x v="2"/>
    <s v="Yes"/>
    <s v="Yes"/>
    <n v="3.7"/>
    <x v="1"/>
    <n v="8"/>
    <s v="August"/>
  </r>
  <r>
    <s v="C0625"/>
    <s v="Vikram Rao"/>
    <n v="35"/>
    <x v="1"/>
    <x v="5"/>
    <s v="Tamil Nadu"/>
    <s v="Mahindra"/>
    <x v="0"/>
    <x v="0"/>
    <x v="1"/>
    <s v="Automatic"/>
    <d v="2025-12-20T00:00:00"/>
    <d v="2026-01-26T00:00:00"/>
    <n v="1596755"/>
    <n v="44017"/>
    <n v="1552738"/>
    <x v="1"/>
    <x v="3"/>
    <s v="No"/>
    <s v="No"/>
    <n v="4.9000000000000004"/>
    <x v="0"/>
    <n v="1"/>
    <s v="January"/>
  </r>
  <r>
    <s v="C0626"/>
    <s v="Rahul Sharma"/>
    <n v="22"/>
    <x v="0"/>
    <x v="3"/>
    <s v="Maharashtra"/>
    <s v="Mahindra"/>
    <x v="1"/>
    <x v="0"/>
    <x v="1"/>
    <s v="Automatic"/>
    <d v="2025-07-03T00:00:00"/>
    <d v="2025-08-12T00:00:00"/>
    <n v="1851897"/>
    <n v="86320"/>
    <n v="1765577"/>
    <x v="3"/>
    <x v="4"/>
    <s v="Yes"/>
    <s v="Yes"/>
    <n v="3.3"/>
    <x v="0"/>
    <n v="8"/>
    <s v="August"/>
  </r>
  <r>
    <s v="C0627"/>
    <s v="Sneha Patel"/>
    <n v="29"/>
    <x v="1"/>
    <x v="3"/>
    <s v="Maharashtra"/>
    <s v="Mahindra"/>
    <x v="0"/>
    <x v="0"/>
    <x v="0"/>
    <s v="Manual"/>
    <d v="2026-03-22T00:00:00"/>
    <d v="2026-04-26T00:00:00"/>
    <n v="1711231"/>
    <n v="84552"/>
    <n v="1626679"/>
    <x v="1"/>
    <x v="1"/>
    <s v="Yes"/>
    <s v="No"/>
    <n v="3.1"/>
    <x v="0"/>
    <n v="4"/>
    <s v="April"/>
  </r>
  <r>
    <s v="C0628"/>
    <s v="Rohit Singh"/>
    <n v="45"/>
    <x v="0"/>
    <x v="1"/>
    <s v="Tamil Nadu"/>
    <s v="Mahindra"/>
    <x v="0"/>
    <x v="2"/>
    <x v="0"/>
    <s v="Automatic"/>
    <d v="2025-08-13T00:00:00"/>
    <d v="2025-09-04T00:00:00"/>
    <n v="1697031"/>
    <n v="96609"/>
    <n v="1600422"/>
    <x v="2"/>
    <x v="1"/>
    <s v="Yes"/>
    <s v="Yes"/>
    <n v="4.7"/>
    <x v="0"/>
    <n v="9"/>
    <s v="September"/>
  </r>
  <r>
    <s v="C0629"/>
    <s v="Anjali Verma"/>
    <n v="32"/>
    <x v="1"/>
    <x v="1"/>
    <s v="Tamil Nadu"/>
    <s v="Mahindra"/>
    <x v="1"/>
    <x v="4"/>
    <x v="1"/>
    <s v="Automatic"/>
    <d v="2025-01-22T00:00:00"/>
    <d v="2025-03-07T00:00:00"/>
    <n v="1590683"/>
    <n v="27721"/>
    <n v="1562962"/>
    <x v="0"/>
    <x v="3"/>
    <s v="No"/>
    <s v="No"/>
    <n v="4.4000000000000004"/>
    <x v="0"/>
    <n v="3"/>
    <s v="March"/>
  </r>
  <r>
    <s v="C0630"/>
    <s v="Rohit Singh"/>
    <n v="46"/>
    <x v="1"/>
    <x v="3"/>
    <s v="Maharashtra"/>
    <s v="Mahindra"/>
    <x v="0"/>
    <x v="1"/>
    <x v="0"/>
    <s v="Automatic"/>
    <d v="2025-05-30T00:00:00"/>
    <d v="2025-07-03T00:00:00"/>
    <n v="1360435"/>
    <n v="75997"/>
    <n v="1284438"/>
    <x v="4"/>
    <x v="1"/>
    <s v="Yes"/>
    <s v="Yes"/>
    <n v="3.1"/>
    <x v="0"/>
    <n v="7"/>
    <s v="July"/>
  </r>
  <r>
    <s v="C0631"/>
    <s v="Sneha Patel"/>
    <n v="21"/>
    <x v="0"/>
    <x v="5"/>
    <s v="Tamil Nadu"/>
    <s v="Mahindra"/>
    <x v="0"/>
    <x v="3"/>
    <x v="1"/>
    <s v="Automatic"/>
    <d v="2025-10-18T00:00:00"/>
    <d v="2025-12-01T00:00:00"/>
    <n v="1519591"/>
    <n v="35035"/>
    <n v="1484556"/>
    <x v="3"/>
    <x v="0"/>
    <s v="Yes"/>
    <s v="No"/>
    <n v="3.8"/>
    <x v="0"/>
    <n v="12"/>
    <s v="December"/>
  </r>
  <r>
    <s v="C0632"/>
    <s v="Arjun Kumar"/>
    <n v="57"/>
    <x v="1"/>
    <x v="1"/>
    <s v="Tamil Nadu"/>
    <s v="Mahindra"/>
    <x v="2"/>
    <x v="1"/>
    <x v="1"/>
    <s v="Manual"/>
    <d v="2026-06-20T00:00:00"/>
    <d v="2026-07-20T00:00:00"/>
    <n v="1505336"/>
    <n v="50026"/>
    <n v="1455310"/>
    <x v="3"/>
    <x v="4"/>
    <s v="Yes"/>
    <s v="Yes"/>
    <n v="4.4000000000000004"/>
    <x v="0"/>
    <n v="7"/>
    <s v="July"/>
  </r>
  <r>
    <s v="C0633"/>
    <s v="Pooja Das"/>
    <n v="29"/>
    <x v="0"/>
    <x v="4"/>
    <s v="Karnataka"/>
    <s v="Mahindra"/>
    <x v="0"/>
    <x v="4"/>
    <x v="1"/>
    <s v="Automatic"/>
    <d v="2025-12-12T00:00:00"/>
    <d v="2025-12-20T00:00:00"/>
    <n v="1895846"/>
    <n v="99349"/>
    <n v="1796497"/>
    <x v="2"/>
    <x v="3"/>
    <s v="Yes"/>
    <s v="Yes"/>
    <n v="3"/>
    <x v="2"/>
    <n v="12"/>
    <s v="December"/>
  </r>
  <r>
    <s v="C0634"/>
    <s v="Meera Iyer"/>
    <n v="42"/>
    <x v="0"/>
    <x v="0"/>
    <s v="Telangana"/>
    <s v="Mahindra"/>
    <x v="0"/>
    <x v="4"/>
    <x v="1"/>
    <s v="Automatic"/>
    <d v="2025-02-20T00:00:00"/>
    <d v="2025-03-22T00:00:00"/>
    <n v="1899448"/>
    <n v="64205"/>
    <n v="1835243"/>
    <x v="1"/>
    <x v="4"/>
    <s v="Yes"/>
    <s v="No"/>
    <n v="4"/>
    <x v="0"/>
    <n v="3"/>
    <s v="March"/>
  </r>
  <r>
    <s v="C0635"/>
    <s v="Karthik S"/>
    <n v="24"/>
    <x v="0"/>
    <x v="4"/>
    <s v="Karnataka"/>
    <s v="Mahindra"/>
    <x v="0"/>
    <x v="2"/>
    <x v="1"/>
    <s v="Automatic"/>
    <d v="2025-03-25T00:00:00"/>
    <d v="2025-04-03T00:00:00"/>
    <n v="1657890"/>
    <n v="55203"/>
    <n v="1602687"/>
    <x v="1"/>
    <x v="3"/>
    <s v="No"/>
    <s v="Yes"/>
    <n v="3.8"/>
    <x v="2"/>
    <n v="4"/>
    <s v="April"/>
  </r>
  <r>
    <s v="C0636"/>
    <s v="Vikram Rao"/>
    <n v="50"/>
    <x v="1"/>
    <x v="1"/>
    <s v="Tamil Nadu"/>
    <s v="Mahindra"/>
    <x v="1"/>
    <x v="1"/>
    <x v="0"/>
    <s v="Automatic"/>
    <d v="2026-04-01T00:00:00"/>
    <d v="2026-04-27T00:00:00"/>
    <n v="1751183"/>
    <n v="71305"/>
    <n v="1679878"/>
    <x v="3"/>
    <x v="0"/>
    <s v="Yes"/>
    <s v="Yes"/>
    <n v="4.0999999999999996"/>
    <x v="0"/>
    <n v="4"/>
    <s v="April"/>
  </r>
  <r>
    <s v="C0637"/>
    <s v="Sneha Patel"/>
    <n v="30"/>
    <x v="1"/>
    <x v="5"/>
    <s v="Tamil Nadu"/>
    <s v="Mahindra"/>
    <x v="2"/>
    <x v="3"/>
    <x v="0"/>
    <s v="Manual"/>
    <d v="2025-12-14T00:00:00"/>
    <d v="2026-01-06T00:00:00"/>
    <n v="1645839"/>
    <n v="82327"/>
    <n v="1563512"/>
    <x v="2"/>
    <x v="3"/>
    <s v="No"/>
    <s v="No"/>
    <n v="4.9000000000000004"/>
    <x v="0"/>
    <n v="1"/>
    <s v="January"/>
  </r>
  <r>
    <s v="C0638"/>
    <s v="Anjali Verma"/>
    <n v="36"/>
    <x v="0"/>
    <x v="1"/>
    <s v="Tamil Nadu"/>
    <s v="Mahindra"/>
    <x v="0"/>
    <x v="0"/>
    <x v="0"/>
    <s v="Manual"/>
    <d v="2026-04-26T00:00:00"/>
    <d v="2026-05-30T00:00:00"/>
    <n v="1394062"/>
    <n v="11176"/>
    <n v="1382886"/>
    <x v="4"/>
    <x v="4"/>
    <s v="No"/>
    <s v="Yes"/>
    <n v="4.8"/>
    <x v="0"/>
    <n v="5"/>
    <s v="May"/>
  </r>
  <r>
    <s v="C0639"/>
    <s v="Priya Nair"/>
    <n v="37"/>
    <x v="0"/>
    <x v="2"/>
    <s v="Tamil Nadu"/>
    <s v="Mahindra"/>
    <x v="1"/>
    <x v="0"/>
    <x v="0"/>
    <s v="Manual"/>
    <d v="2025-01-13T00:00:00"/>
    <d v="2025-02-27T00:00:00"/>
    <n v="1524240"/>
    <n v="49145"/>
    <n v="1475095"/>
    <x v="2"/>
    <x v="4"/>
    <s v="Yes"/>
    <s v="No"/>
    <n v="3.2"/>
    <x v="0"/>
    <n v="2"/>
    <s v="February"/>
  </r>
  <r>
    <s v="C0640"/>
    <s v="Meera Iyer"/>
    <n v="24"/>
    <x v="1"/>
    <x v="0"/>
    <s v="Telangana"/>
    <s v="Mahindra"/>
    <x v="1"/>
    <x v="0"/>
    <x v="0"/>
    <s v="Manual"/>
    <d v="2025-10-12T00:00:00"/>
    <d v="2025-10-19T00:00:00"/>
    <n v="1818918"/>
    <n v="30119"/>
    <n v="1788799"/>
    <x v="0"/>
    <x v="0"/>
    <s v="No"/>
    <s v="Yes"/>
    <n v="4.9000000000000004"/>
    <x v="2"/>
    <n v="10"/>
    <s v="October"/>
  </r>
  <r>
    <s v="C0641"/>
    <s v="Rohit Singh"/>
    <n v="57"/>
    <x v="1"/>
    <x v="5"/>
    <s v="Tamil Nadu"/>
    <s v="Mahindra"/>
    <x v="0"/>
    <x v="3"/>
    <x v="1"/>
    <s v="Automatic"/>
    <d v="2025-08-12T00:00:00"/>
    <d v="2025-08-27T00:00:00"/>
    <n v="1515910"/>
    <n v="72874"/>
    <n v="1443036"/>
    <x v="0"/>
    <x v="3"/>
    <s v="No"/>
    <s v="No"/>
    <n v="3.8"/>
    <x v="1"/>
    <n v="8"/>
    <s v="August"/>
  </r>
  <r>
    <s v="C0642"/>
    <s v="Anjali Verma"/>
    <n v="33"/>
    <x v="0"/>
    <x v="0"/>
    <s v="Telangana"/>
    <s v="Mahindra"/>
    <x v="1"/>
    <x v="2"/>
    <x v="0"/>
    <s v="Automatic"/>
    <d v="2025-01-07T00:00:00"/>
    <d v="2025-02-15T00:00:00"/>
    <n v="1860290"/>
    <n v="11256"/>
    <n v="1849034"/>
    <x v="1"/>
    <x v="0"/>
    <s v="No"/>
    <s v="Yes"/>
    <n v="4.0999999999999996"/>
    <x v="0"/>
    <n v="2"/>
    <s v="February"/>
  </r>
  <r>
    <s v="C0643"/>
    <s v="Meera Iyer"/>
    <n v="55"/>
    <x v="1"/>
    <x v="2"/>
    <s v="Tamil Nadu"/>
    <s v="Mahindra"/>
    <x v="2"/>
    <x v="1"/>
    <x v="0"/>
    <s v="Automatic"/>
    <d v="2025-11-26T00:00:00"/>
    <d v="2026-01-02T00:00:00"/>
    <n v="1507213"/>
    <n v="21587"/>
    <n v="1485626"/>
    <x v="2"/>
    <x v="3"/>
    <s v="No"/>
    <s v="No"/>
    <n v="3.3"/>
    <x v="0"/>
    <n v="1"/>
    <s v="January"/>
  </r>
  <r>
    <s v="C0644"/>
    <s v="Karthik S"/>
    <n v="44"/>
    <x v="1"/>
    <x v="1"/>
    <s v="Tamil Nadu"/>
    <s v="Mahindra"/>
    <x v="1"/>
    <x v="2"/>
    <x v="0"/>
    <s v="Automatic"/>
    <d v="2025-08-28T00:00:00"/>
    <d v="2025-10-03T00:00:00"/>
    <n v="1334729"/>
    <n v="97200"/>
    <n v="1237529"/>
    <x v="3"/>
    <x v="1"/>
    <s v="No"/>
    <s v="No"/>
    <n v="3.6"/>
    <x v="0"/>
    <n v="10"/>
    <s v="October"/>
  </r>
  <r>
    <s v="C0645"/>
    <s v="Karthik S"/>
    <n v="28"/>
    <x v="0"/>
    <x v="0"/>
    <s v="Telangana"/>
    <s v="Mahindra"/>
    <x v="2"/>
    <x v="1"/>
    <x v="1"/>
    <s v="Automatic"/>
    <d v="2025-10-13T00:00:00"/>
    <d v="2025-11-12T00:00:00"/>
    <n v="1544759"/>
    <n v="64020"/>
    <n v="1480739"/>
    <x v="0"/>
    <x v="4"/>
    <s v="Yes"/>
    <s v="No"/>
    <n v="4.9000000000000004"/>
    <x v="0"/>
    <n v="11"/>
    <s v="November"/>
  </r>
  <r>
    <s v="C0646"/>
    <s v="Rohit Singh"/>
    <n v="58"/>
    <x v="1"/>
    <x v="4"/>
    <s v="Karnataka"/>
    <s v="Mahindra"/>
    <x v="2"/>
    <x v="2"/>
    <x v="0"/>
    <s v="Manual"/>
    <d v="2025-07-23T00:00:00"/>
    <d v="2025-08-30T00:00:00"/>
    <n v="1699413"/>
    <n v="25490"/>
    <n v="1673923"/>
    <x v="1"/>
    <x v="0"/>
    <s v="No"/>
    <s v="No"/>
    <n v="4.8"/>
    <x v="0"/>
    <n v="8"/>
    <s v="August"/>
  </r>
  <r>
    <s v="C0647"/>
    <s v="Vikram Rao"/>
    <n v="58"/>
    <x v="1"/>
    <x v="3"/>
    <s v="Maharashtra"/>
    <s v="Mahindra"/>
    <x v="0"/>
    <x v="1"/>
    <x v="0"/>
    <s v="Automatic"/>
    <d v="2025-10-08T00:00:00"/>
    <d v="2025-11-13T00:00:00"/>
    <n v="1673174"/>
    <n v="67216"/>
    <n v="1605958"/>
    <x v="0"/>
    <x v="3"/>
    <s v="Yes"/>
    <s v="No"/>
    <n v="4"/>
    <x v="0"/>
    <n v="11"/>
    <s v="November"/>
  </r>
  <r>
    <s v="C0648"/>
    <s v="Rohit Singh"/>
    <n v="57"/>
    <x v="1"/>
    <x v="1"/>
    <s v="Tamil Nadu"/>
    <s v="Mahindra"/>
    <x v="0"/>
    <x v="2"/>
    <x v="1"/>
    <s v="Automatic"/>
    <d v="2025-07-06T00:00:00"/>
    <d v="2025-07-22T00:00:00"/>
    <n v="1727488"/>
    <n v="13112"/>
    <n v="1714376"/>
    <x v="3"/>
    <x v="0"/>
    <s v="Yes"/>
    <s v="No"/>
    <n v="3.5"/>
    <x v="1"/>
    <n v="7"/>
    <s v="July"/>
  </r>
  <r>
    <s v="C0649"/>
    <s v="Anjali Verma"/>
    <n v="47"/>
    <x v="0"/>
    <x v="4"/>
    <s v="Karnataka"/>
    <s v="Mahindra"/>
    <x v="1"/>
    <x v="1"/>
    <x v="1"/>
    <s v="Automatic"/>
    <d v="2025-09-05T00:00:00"/>
    <d v="2025-10-14T00:00:00"/>
    <n v="1867434"/>
    <n v="70343"/>
    <n v="1797091"/>
    <x v="2"/>
    <x v="2"/>
    <s v="Yes"/>
    <s v="No"/>
    <n v="4.2"/>
    <x v="0"/>
    <n v="10"/>
    <s v="October"/>
  </r>
  <r>
    <s v="C0650"/>
    <s v="Rahul Sharma"/>
    <n v="52"/>
    <x v="1"/>
    <x v="0"/>
    <s v="Telangana"/>
    <s v="Mahindra"/>
    <x v="0"/>
    <x v="2"/>
    <x v="0"/>
    <s v="Manual"/>
    <d v="2026-05-02T00:00:00"/>
    <d v="2026-05-26T00:00:00"/>
    <n v="1818560"/>
    <n v="65285"/>
    <n v="1753275"/>
    <x v="4"/>
    <x v="0"/>
    <s v="No"/>
    <s v="Yes"/>
    <n v="4.5"/>
    <x v="0"/>
    <n v="5"/>
    <s v="May"/>
  </r>
  <r>
    <s v="C0651"/>
    <s v="Arjun Kumar"/>
    <n v="26"/>
    <x v="0"/>
    <x v="5"/>
    <s v="Tamil Nadu"/>
    <s v="Mahindra"/>
    <x v="0"/>
    <x v="1"/>
    <x v="0"/>
    <s v="Manual"/>
    <d v="2025-06-25T00:00:00"/>
    <d v="2025-07-05T00:00:00"/>
    <n v="1498657"/>
    <n v="83564"/>
    <n v="1415093"/>
    <x v="3"/>
    <x v="4"/>
    <s v="No"/>
    <s v="Yes"/>
    <n v="3.4"/>
    <x v="2"/>
    <n v="7"/>
    <s v="July"/>
  </r>
  <r>
    <s v="C0652"/>
    <s v="Rahul Sharma"/>
    <n v="60"/>
    <x v="0"/>
    <x v="2"/>
    <s v="Tamil Nadu"/>
    <s v="Mahindra"/>
    <x v="2"/>
    <x v="2"/>
    <x v="0"/>
    <s v="Manual"/>
    <d v="2025-03-26T00:00:00"/>
    <d v="2025-05-10T00:00:00"/>
    <n v="1726669"/>
    <n v="10689"/>
    <n v="1715980"/>
    <x v="1"/>
    <x v="3"/>
    <s v="Yes"/>
    <s v="Yes"/>
    <n v="4.0999999999999996"/>
    <x v="0"/>
    <n v="5"/>
    <s v="May"/>
  </r>
  <r>
    <s v="C0653"/>
    <s v="Meera Iyer"/>
    <n v="29"/>
    <x v="0"/>
    <x v="5"/>
    <s v="Tamil Nadu"/>
    <s v="Mahindra"/>
    <x v="1"/>
    <x v="0"/>
    <x v="1"/>
    <s v="Automatic"/>
    <d v="2026-05-09T00:00:00"/>
    <d v="2026-06-01T00:00:00"/>
    <n v="1577227"/>
    <n v="95628"/>
    <n v="1481599"/>
    <x v="2"/>
    <x v="2"/>
    <s v="Yes"/>
    <s v="Yes"/>
    <n v="4.5999999999999996"/>
    <x v="0"/>
    <n v="6"/>
    <s v="June"/>
  </r>
  <r>
    <s v="C0654"/>
    <s v="Karthik S"/>
    <n v="46"/>
    <x v="1"/>
    <x v="4"/>
    <s v="Karnataka"/>
    <s v="Mahindra"/>
    <x v="0"/>
    <x v="0"/>
    <x v="1"/>
    <s v="Automatic"/>
    <d v="2026-03-01T00:00:00"/>
    <d v="2026-04-03T00:00:00"/>
    <n v="1404774"/>
    <n v="31814"/>
    <n v="1372960"/>
    <x v="1"/>
    <x v="1"/>
    <s v="Yes"/>
    <s v="Yes"/>
    <n v="3.5"/>
    <x v="0"/>
    <n v="4"/>
    <s v="April"/>
  </r>
  <r>
    <s v="C0655"/>
    <s v="Priya Nair"/>
    <n v="33"/>
    <x v="1"/>
    <x v="4"/>
    <s v="Karnataka"/>
    <s v="Mahindra"/>
    <x v="2"/>
    <x v="3"/>
    <x v="1"/>
    <s v="Automatic"/>
    <d v="2026-06-10T00:00:00"/>
    <d v="2026-06-24T00:00:00"/>
    <n v="1454762"/>
    <n v="91173"/>
    <n v="1363589"/>
    <x v="1"/>
    <x v="3"/>
    <s v="Yes"/>
    <s v="No"/>
    <n v="4.5999999999999996"/>
    <x v="1"/>
    <n v="6"/>
    <s v="June"/>
  </r>
  <r>
    <s v="C0656"/>
    <s v="Karthik S"/>
    <n v="56"/>
    <x v="0"/>
    <x v="4"/>
    <s v="Karnataka"/>
    <s v="Mahindra"/>
    <x v="2"/>
    <x v="3"/>
    <x v="0"/>
    <s v="Manual"/>
    <d v="2025-03-16T00:00:00"/>
    <d v="2025-03-26T00:00:00"/>
    <n v="1396299"/>
    <n v="88898"/>
    <n v="1307401"/>
    <x v="4"/>
    <x v="3"/>
    <s v="Yes"/>
    <s v="No"/>
    <n v="3.5"/>
    <x v="2"/>
    <n v="3"/>
    <s v="March"/>
  </r>
  <r>
    <s v="C0657"/>
    <s v="Priya Nair"/>
    <n v="39"/>
    <x v="1"/>
    <x v="0"/>
    <s v="Telangana"/>
    <s v="Mahindra"/>
    <x v="1"/>
    <x v="0"/>
    <x v="1"/>
    <s v="Manual"/>
    <d v="2026-02-05T00:00:00"/>
    <d v="2026-03-11T00:00:00"/>
    <n v="1594883"/>
    <n v="72332"/>
    <n v="1522551"/>
    <x v="0"/>
    <x v="4"/>
    <s v="Yes"/>
    <s v="No"/>
    <n v="4.3"/>
    <x v="0"/>
    <n v="3"/>
    <s v="March"/>
  </r>
  <r>
    <s v="C0658"/>
    <s v="Vikram Rao"/>
    <n v="35"/>
    <x v="0"/>
    <x v="1"/>
    <s v="Tamil Nadu"/>
    <s v="Mahindra"/>
    <x v="0"/>
    <x v="3"/>
    <x v="1"/>
    <s v="Manual"/>
    <d v="2026-01-20T00:00:00"/>
    <d v="2026-02-14T00:00:00"/>
    <n v="1416769"/>
    <n v="75541"/>
    <n v="1341228"/>
    <x v="2"/>
    <x v="3"/>
    <s v="No"/>
    <s v="Yes"/>
    <n v="3.9"/>
    <x v="0"/>
    <n v="2"/>
    <s v="February"/>
  </r>
  <r>
    <s v="C0659"/>
    <s v="Arjun Kumar"/>
    <n v="21"/>
    <x v="0"/>
    <x v="2"/>
    <s v="Tamil Nadu"/>
    <s v="Mahindra"/>
    <x v="0"/>
    <x v="1"/>
    <x v="0"/>
    <s v="Automatic"/>
    <d v="2025-11-25T00:00:00"/>
    <d v="2026-01-04T00:00:00"/>
    <n v="1843639"/>
    <n v="70991"/>
    <n v="1772648"/>
    <x v="4"/>
    <x v="0"/>
    <s v="No"/>
    <s v="Yes"/>
    <n v="4.5"/>
    <x v="0"/>
    <n v="1"/>
    <s v="January"/>
  </r>
  <r>
    <s v="C0660"/>
    <s v="Karthik S"/>
    <n v="48"/>
    <x v="0"/>
    <x v="4"/>
    <s v="Karnataka"/>
    <s v="Mahindra"/>
    <x v="1"/>
    <x v="1"/>
    <x v="1"/>
    <s v="Manual"/>
    <d v="2025-04-30T00:00:00"/>
    <d v="2025-05-14T00:00:00"/>
    <n v="1626139"/>
    <n v="53068"/>
    <n v="1573071"/>
    <x v="1"/>
    <x v="1"/>
    <s v="Yes"/>
    <s v="Yes"/>
    <n v="4.7"/>
    <x v="1"/>
    <n v="5"/>
    <s v="May"/>
  </r>
  <r>
    <s v="C0661"/>
    <s v="Anjali Verma"/>
    <n v="40"/>
    <x v="0"/>
    <x v="4"/>
    <s v="Karnataka"/>
    <s v="Mahindra"/>
    <x v="0"/>
    <x v="0"/>
    <x v="1"/>
    <s v="Automatic"/>
    <d v="2025-05-24T00:00:00"/>
    <d v="2025-07-04T00:00:00"/>
    <n v="1402016"/>
    <n v="74860"/>
    <n v="1327156"/>
    <x v="0"/>
    <x v="3"/>
    <s v="No"/>
    <s v="Yes"/>
    <n v="4.5999999999999996"/>
    <x v="0"/>
    <n v="7"/>
    <s v="July"/>
  </r>
  <r>
    <s v="C0662"/>
    <s v="Arjun Kumar"/>
    <n v="43"/>
    <x v="0"/>
    <x v="4"/>
    <s v="Karnataka"/>
    <s v="Mahindra"/>
    <x v="0"/>
    <x v="4"/>
    <x v="0"/>
    <s v="Automatic"/>
    <d v="2025-08-15T00:00:00"/>
    <d v="2025-08-29T00:00:00"/>
    <n v="1721550"/>
    <n v="87280"/>
    <n v="1634270"/>
    <x v="3"/>
    <x v="0"/>
    <s v="Yes"/>
    <s v="No"/>
    <n v="3.6"/>
    <x v="1"/>
    <n v="8"/>
    <s v="August"/>
  </r>
  <r>
    <s v="C0663"/>
    <s v="Sneha Patel"/>
    <n v="51"/>
    <x v="1"/>
    <x v="2"/>
    <s v="Tamil Nadu"/>
    <s v="Mahindra"/>
    <x v="1"/>
    <x v="2"/>
    <x v="1"/>
    <s v="Automatic"/>
    <d v="2025-02-15T00:00:00"/>
    <d v="2025-03-11T00:00:00"/>
    <n v="1656004"/>
    <n v="44292"/>
    <n v="1611712"/>
    <x v="3"/>
    <x v="4"/>
    <s v="Yes"/>
    <s v="Yes"/>
    <n v="3.9"/>
    <x v="0"/>
    <n v="3"/>
    <s v="March"/>
  </r>
  <r>
    <s v="C0664"/>
    <s v="Pooja Das"/>
    <n v="26"/>
    <x v="1"/>
    <x v="5"/>
    <s v="Tamil Nadu"/>
    <s v="Mahindra"/>
    <x v="1"/>
    <x v="2"/>
    <x v="1"/>
    <s v="Manual"/>
    <d v="2025-02-23T00:00:00"/>
    <d v="2025-03-09T00:00:00"/>
    <n v="1337078"/>
    <n v="45175"/>
    <n v="1291903"/>
    <x v="0"/>
    <x v="4"/>
    <s v="Yes"/>
    <s v="No"/>
    <n v="4.2"/>
    <x v="1"/>
    <n v="3"/>
    <s v="March"/>
  </r>
  <r>
    <s v="C0665"/>
    <s v="Rahul Sharma"/>
    <n v="32"/>
    <x v="0"/>
    <x v="0"/>
    <s v="Telangana"/>
    <s v="Mahindra"/>
    <x v="2"/>
    <x v="2"/>
    <x v="0"/>
    <s v="Automatic"/>
    <d v="2025-05-17T00:00:00"/>
    <d v="2025-06-15T00:00:00"/>
    <n v="1403747"/>
    <n v="66757"/>
    <n v="1336990"/>
    <x v="0"/>
    <x v="4"/>
    <s v="No"/>
    <s v="No"/>
    <n v="3.7"/>
    <x v="0"/>
    <n v="6"/>
    <s v="June"/>
  </r>
  <r>
    <s v="C0666"/>
    <s v="Meera Iyer"/>
    <n v="53"/>
    <x v="0"/>
    <x v="3"/>
    <s v="Maharashtra"/>
    <s v="Mahindra"/>
    <x v="1"/>
    <x v="3"/>
    <x v="0"/>
    <s v="Manual"/>
    <d v="2025-04-18T00:00:00"/>
    <d v="2025-05-27T00:00:00"/>
    <n v="1496824"/>
    <n v="34673"/>
    <n v="1462151"/>
    <x v="4"/>
    <x v="1"/>
    <s v="Yes"/>
    <s v="No"/>
    <n v="4.0999999999999996"/>
    <x v="0"/>
    <n v="5"/>
    <s v="May"/>
  </r>
  <r>
    <s v="C0667"/>
    <s v="Meera Iyer"/>
    <n v="52"/>
    <x v="1"/>
    <x v="5"/>
    <s v="Tamil Nadu"/>
    <s v="Mahindra"/>
    <x v="1"/>
    <x v="3"/>
    <x v="1"/>
    <s v="Automatic"/>
    <d v="2025-01-22T00:00:00"/>
    <d v="2025-02-27T00:00:00"/>
    <n v="1440070"/>
    <n v="14047"/>
    <n v="1426023"/>
    <x v="2"/>
    <x v="0"/>
    <s v="No"/>
    <s v="No"/>
    <n v="4"/>
    <x v="0"/>
    <n v="2"/>
    <s v="February"/>
  </r>
  <r>
    <s v="C0668"/>
    <s v="Rohit Singh"/>
    <n v="56"/>
    <x v="0"/>
    <x v="2"/>
    <s v="Tamil Nadu"/>
    <s v="Mahindra"/>
    <x v="0"/>
    <x v="0"/>
    <x v="0"/>
    <s v="Manual"/>
    <d v="2025-06-09T00:00:00"/>
    <d v="2025-07-09T00:00:00"/>
    <n v="1834116"/>
    <n v="63953"/>
    <n v="1770163"/>
    <x v="4"/>
    <x v="1"/>
    <s v="Yes"/>
    <s v="Yes"/>
    <n v="4.4000000000000004"/>
    <x v="0"/>
    <n v="7"/>
    <s v="July"/>
  </r>
  <r>
    <s v="C0669"/>
    <s v="Arjun Kumar"/>
    <n v="35"/>
    <x v="0"/>
    <x v="2"/>
    <s v="Tamil Nadu"/>
    <s v="Mahindra"/>
    <x v="0"/>
    <x v="1"/>
    <x v="0"/>
    <s v="Manual"/>
    <d v="2025-05-15T00:00:00"/>
    <d v="2025-05-22T00:00:00"/>
    <n v="1326378"/>
    <n v="47214"/>
    <n v="1279164"/>
    <x v="2"/>
    <x v="0"/>
    <s v="No"/>
    <s v="No"/>
    <n v="4.2"/>
    <x v="2"/>
    <n v="5"/>
    <s v="May"/>
  </r>
  <r>
    <s v="C0670"/>
    <s v="Arjun Kumar"/>
    <n v="36"/>
    <x v="0"/>
    <x v="2"/>
    <s v="Tamil Nadu"/>
    <s v="Mahindra"/>
    <x v="1"/>
    <x v="2"/>
    <x v="0"/>
    <s v="Manual"/>
    <d v="2025-07-16T00:00:00"/>
    <d v="2025-08-12T00:00:00"/>
    <n v="1481022"/>
    <n v="81077"/>
    <n v="1399945"/>
    <x v="2"/>
    <x v="1"/>
    <s v="Yes"/>
    <s v="No"/>
    <n v="4.2"/>
    <x v="0"/>
    <n v="8"/>
    <s v="August"/>
  </r>
  <r>
    <s v="C0671"/>
    <s v="Arjun Kumar"/>
    <n v="53"/>
    <x v="0"/>
    <x v="2"/>
    <s v="Tamil Nadu"/>
    <s v="Mahindra"/>
    <x v="1"/>
    <x v="2"/>
    <x v="1"/>
    <s v="Manual"/>
    <d v="2026-02-06T00:00:00"/>
    <d v="2026-03-19T00:00:00"/>
    <n v="1611067"/>
    <n v="58543"/>
    <n v="1552524"/>
    <x v="3"/>
    <x v="1"/>
    <s v="Yes"/>
    <s v="No"/>
    <n v="4.3"/>
    <x v="0"/>
    <n v="3"/>
    <s v="March"/>
  </r>
  <r>
    <s v="C0672"/>
    <s v="Rahul Sharma"/>
    <n v="47"/>
    <x v="1"/>
    <x v="5"/>
    <s v="Tamil Nadu"/>
    <s v="Mahindra"/>
    <x v="0"/>
    <x v="3"/>
    <x v="1"/>
    <s v="Manual"/>
    <d v="2025-08-12T00:00:00"/>
    <d v="2025-09-13T00:00:00"/>
    <n v="1803922"/>
    <n v="85111"/>
    <n v="1718811"/>
    <x v="1"/>
    <x v="2"/>
    <s v="No"/>
    <s v="Yes"/>
    <n v="3.8"/>
    <x v="0"/>
    <n v="9"/>
    <s v="September"/>
  </r>
  <r>
    <s v="C0673"/>
    <s v="Anjali Verma"/>
    <n v="59"/>
    <x v="1"/>
    <x v="5"/>
    <s v="Tamil Nadu"/>
    <s v="Mahindra"/>
    <x v="0"/>
    <x v="3"/>
    <x v="1"/>
    <s v="Manual"/>
    <d v="2026-04-09T00:00:00"/>
    <d v="2026-05-10T00:00:00"/>
    <n v="1549220"/>
    <n v="42065"/>
    <n v="1507155"/>
    <x v="1"/>
    <x v="4"/>
    <s v="No"/>
    <s v="No"/>
    <n v="4.8"/>
    <x v="0"/>
    <n v="5"/>
    <s v="May"/>
  </r>
  <r>
    <s v="C0674"/>
    <s v="Anjali Verma"/>
    <n v="21"/>
    <x v="0"/>
    <x v="5"/>
    <s v="Tamil Nadu"/>
    <s v="Mahindra"/>
    <x v="1"/>
    <x v="4"/>
    <x v="0"/>
    <s v="Automatic"/>
    <d v="2025-08-11T00:00:00"/>
    <d v="2025-09-11T00:00:00"/>
    <n v="1708578"/>
    <n v="73469"/>
    <n v="1635109"/>
    <x v="4"/>
    <x v="0"/>
    <s v="No"/>
    <s v="No"/>
    <n v="4.0999999999999996"/>
    <x v="0"/>
    <n v="9"/>
    <s v="September"/>
  </r>
  <r>
    <s v="C0675"/>
    <s v="Priya Nair"/>
    <n v="24"/>
    <x v="0"/>
    <x v="1"/>
    <s v="Tamil Nadu"/>
    <s v="Mahindra"/>
    <x v="2"/>
    <x v="1"/>
    <x v="1"/>
    <s v="Automatic"/>
    <d v="2026-05-15T00:00:00"/>
    <d v="2026-06-19T00:00:00"/>
    <n v="1890843"/>
    <n v="93283"/>
    <n v="1797560"/>
    <x v="0"/>
    <x v="2"/>
    <s v="No"/>
    <s v="Yes"/>
    <n v="4.7"/>
    <x v="0"/>
    <n v="6"/>
    <s v="June"/>
  </r>
  <r>
    <s v="C0676"/>
    <s v="Anjali Verma"/>
    <n v="46"/>
    <x v="0"/>
    <x v="4"/>
    <s v="Karnataka"/>
    <s v="Mahindra"/>
    <x v="1"/>
    <x v="0"/>
    <x v="1"/>
    <s v="Manual"/>
    <d v="2025-05-24T00:00:00"/>
    <d v="2025-06-27T00:00:00"/>
    <n v="1791217"/>
    <n v="56647"/>
    <n v="1734570"/>
    <x v="1"/>
    <x v="0"/>
    <s v="No"/>
    <s v="Yes"/>
    <n v="4.9000000000000004"/>
    <x v="0"/>
    <n v="6"/>
    <s v="June"/>
  </r>
  <r>
    <s v="C0677"/>
    <s v="Karthik S"/>
    <n v="36"/>
    <x v="1"/>
    <x v="0"/>
    <s v="Telangana"/>
    <s v="Mahindra"/>
    <x v="1"/>
    <x v="1"/>
    <x v="1"/>
    <s v="Manual"/>
    <d v="2025-08-05T00:00:00"/>
    <d v="2025-09-14T00:00:00"/>
    <n v="1693555"/>
    <n v="86116"/>
    <n v="1607439"/>
    <x v="0"/>
    <x v="4"/>
    <s v="Yes"/>
    <s v="No"/>
    <n v="3.9"/>
    <x v="0"/>
    <n v="9"/>
    <s v="September"/>
  </r>
  <r>
    <s v="C0678"/>
    <s v="Meera Iyer"/>
    <n v="24"/>
    <x v="1"/>
    <x v="3"/>
    <s v="Maharashtra"/>
    <s v="Mahindra"/>
    <x v="1"/>
    <x v="0"/>
    <x v="1"/>
    <s v="Manual"/>
    <d v="2026-04-16T00:00:00"/>
    <d v="2026-05-28T00:00:00"/>
    <n v="1526434"/>
    <n v="93003"/>
    <n v="1433431"/>
    <x v="4"/>
    <x v="3"/>
    <s v="No"/>
    <s v="Yes"/>
    <n v="3.2"/>
    <x v="0"/>
    <n v="5"/>
    <s v="May"/>
  </r>
  <r>
    <s v="C0679"/>
    <s v="Rahul Sharma"/>
    <n v="55"/>
    <x v="0"/>
    <x v="1"/>
    <s v="Tamil Nadu"/>
    <s v="Mahindra"/>
    <x v="1"/>
    <x v="1"/>
    <x v="1"/>
    <s v="Automatic"/>
    <d v="2025-05-01T00:00:00"/>
    <d v="2025-06-11T00:00:00"/>
    <n v="1739233"/>
    <n v="45177"/>
    <n v="1694056"/>
    <x v="4"/>
    <x v="3"/>
    <s v="Yes"/>
    <s v="No"/>
    <n v="4.5999999999999996"/>
    <x v="0"/>
    <n v="6"/>
    <s v="June"/>
  </r>
  <r>
    <s v="C0680"/>
    <s v="Pooja Das"/>
    <n v="32"/>
    <x v="1"/>
    <x v="3"/>
    <s v="Maharashtra"/>
    <s v="Mahindra"/>
    <x v="1"/>
    <x v="0"/>
    <x v="1"/>
    <s v="Manual"/>
    <d v="2026-01-12T00:00:00"/>
    <d v="2026-01-22T00:00:00"/>
    <n v="1776217"/>
    <n v="22800"/>
    <n v="1753417"/>
    <x v="3"/>
    <x v="1"/>
    <s v="No"/>
    <s v="No"/>
    <n v="4.7"/>
    <x v="2"/>
    <n v="1"/>
    <s v="January"/>
  </r>
  <r>
    <s v="C0681"/>
    <s v="Arjun Kumar"/>
    <n v="54"/>
    <x v="0"/>
    <x v="1"/>
    <s v="Tamil Nadu"/>
    <s v="Mahindra"/>
    <x v="1"/>
    <x v="1"/>
    <x v="1"/>
    <s v="Manual"/>
    <d v="2026-01-09T00:00:00"/>
    <d v="2026-02-08T00:00:00"/>
    <n v="1373495"/>
    <n v="48021"/>
    <n v="1325474"/>
    <x v="2"/>
    <x v="1"/>
    <s v="Yes"/>
    <s v="No"/>
    <n v="3.9"/>
    <x v="0"/>
    <n v="2"/>
    <s v="February"/>
  </r>
  <r>
    <s v="C0682"/>
    <s v="Karthik S"/>
    <n v="41"/>
    <x v="0"/>
    <x v="2"/>
    <s v="Tamil Nadu"/>
    <s v="Mahindra"/>
    <x v="0"/>
    <x v="1"/>
    <x v="0"/>
    <s v="Manual"/>
    <d v="2025-09-03T00:00:00"/>
    <d v="2025-09-10T00:00:00"/>
    <n v="1522030"/>
    <n v="59630"/>
    <n v="1462400"/>
    <x v="3"/>
    <x v="2"/>
    <s v="Yes"/>
    <s v="Yes"/>
    <n v="4.5"/>
    <x v="2"/>
    <n v="9"/>
    <s v="September"/>
  </r>
  <r>
    <s v="C0683"/>
    <s v="Pooja Das"/>
    <n v="55"/>
    <x v="0"/>
    <x v="3"/>
    <s v="Maharashtra"/>
    <s v="Mahindra"/>
    <x v="1"/>
    <x v="3"/>
    <x v="0"/>
    <s v="Manual"/>
    <d v="2025-06-23T00:00:00"/>
    <d v="2025-07-17T00:00:00"/>
    <n v="1868423"/>
    <n v="45588"/>
    <n v="1822835"/>
    <x v="4"/>
    <x v="4"/>
    <s v="No"/>
    <s v="No"/>
    <n v="4.8"/>
    <x v="0"/>
    <n v="7"/>
    <s v="July"/>
  </r>
  <r>
    <s v="C0684"/>
    <s v="Priya Nair"/>
    <n v="48"/>
    <x v="0"/>
    <x v="3"/>
    <s v="Maharashtra"/>
    <s v="Mahindra"/>
    <x v="0"/>
    <x v="3"/>
    <x v="1"/>
    <s v="Manual"/>
    <d v="2025-02-02T00:00:00"/>
    <d v="2025-03-06T00:00:00"/>
    <n v="1535063"/>
    <n v="86192"/>
    <n v="1448871"/>
    <x v="4"/>
    <x v="1"/>
    <s v="Yes"/>
    <s v="No"/>
    <n v="3.2"/>
    <x v="0"/>
    <n v="3"/>
    <s v="March"/>
  </r>
  <r>
    <s v="C0685"/>
    <s v="Rohit Singh"/>
    <n v="54"/>
    <x v="1"/>
    <x v="4"/>
    <s v="Karnataka"/>
    <s v="Mahindra"/>
    <x v="1"/>
    <x v="3"/>
    <x v="0"/>
    <s v="Automatic"/>
    <d v="2025-02-20T00:00:00"/>
    <d v="2025-03-25T00:00:00"/>
    <n v="1563315"/>
    <n v="77791"/>
    <n v="1485524"/>
    <x v="1"/>
    <x v="2"/>
    <s v="Yes"/>
    <s v="No"/>
    <n v="4.5"/>
    <x v="0"/>
    <n v="3"/>
    <s v="March"/>
  </r>
  <r>
    <s v="C0686"/>
    <s v="Sneha Patel"/>
    <n v="29"/>
    <x v="1"/>
    <x v="4"/>
    <s v="Karnataka"/>
    <s v="Mahindra"/>
    <x v="1"/>
    <x v="0"/>
    <x v="0"/>
    <s v="Automatic"/>
    <d v="2025-05-28T00:00:00"/>
    <d v="2025-06-21T00:00:00"/>
    <n v="1416980"/>
    <n v="91976"/>
    <n v="1325004"/>
    <x v="0"/>
    <x v="4"/>
    <s v="No"/>
    <s v="Yes"/>
    <n v="3.5"/>
    <x v="0"/>
    <n v="6"/>
    <s v="June"/>
  </r>
  <r>
    <s v="C0687"/>
    <s v="Sneha Patel"/>
    <n v="27"/>
    <x v="1"/>
    <x v="0"/>
    <s v="Telangana"/>
    <s v="Mahindra"/>
    <x v="2"/>
    <x v="3"/>
    <x v="0"/>
    <s v="Automatic"/>
    <d v="2026-02-12T00:00:00"/>
    <d v="2026-03-01T00:00:00"/>
    <n v="1575037"/>
    <n v="89354"/>
    <n v="1485683"/>
    <x v="4"/>
    <x v="1"/>
    <s v="Yes"/>
    <s v="Yes"/>
    <n v="4.0999999999999996"/>
    <x v="1"/>
    <n v="3"/>
    <s v="March"/>
  </r>
  <r>
    <s v="C0688"/>
    <s v="Meera Iyer"/>
    <n v="35"/>
    <x v="1"/>
    <x v="3"/>
    <s v="Maharashtra"/>
    <s v="Mahindra"/>
    <x v="1"/>
    <x v="0"/>
    <x v="0"/>
    <s v="Manual"/>
    <d v="2026-06-25T00:00:00"/>
    <d v="2026-07-08T00:00:00"/>
    <n v="1509278"/>
    <n v="63156"/>
    <n v="1446122"/>
    <x v="1"/>
    <x v="1"/>
    <s v="Yes"/>
    <s v="Yes"/>
    <n v="3.8"/>
    <x v="1"/>
    <n v="7"/>
    <s v="July"/>
  </r>
  <r>
    <s v="C0689"/>
    <s v="Vikram Rao"/>
    <n v="55"/>
    <x v="1"/>
    <x v="5"/>
    <s v="Tamil Nadu"/>
    <s v="Mahindra"/>
    <x v="1"/>
    <x v="2"/>
    <x v="1"/>
    <s v="Automatic"/>
    <d v="2025-11-03T00:00:00"/>
    <d v="2025-11-25T00:00:00"/>
    <n v="1833223"/>
    <n v="31332"/>
    <n v="1801891"/>
    <x v="3"/>
    <x v="2"/>
    <s v="No"/>
    <s v="Yes"/>
    <n v="4.0999999999999996"/>
    <x v="0"/>
    <n v="11"/>
    <s v="November"/>
  </r>
  <r>
    <s v="C0690"/>
    <s v="Sneha Patel"/>
    <n v="47"/>
    <x v="0"/>
    <x v="4"/>
    <s v="Karnataka"/>
    <s v="Mahindra"/>
    <x v="0"/>
    <x v="1"/>
    <x v="0"/>
    <s v="Manual"/>
    <d v="2025-08-20T00:00:00"/>
    <d v="2025-09-12T00:00:00"/>
    <n v="1452730"/>
    <n v="25477"/>
    <n v="1427253"/>
    <x v="0"/>
    <x v="4"/>
    <s v="Yes"/>
    <s v="No"/>
    <n v="4.4000000000000004"/>
    <x v="0"/>
    <n v="9"/>
    <s v="September"/>
  </r>
  <r>
    <s v="C0691"/>
    <s v="Anjali Verma"/>
    <n v="34"/>
    <x v="1"/>
    <x v="0"/>
    <s v="Telangana"/>
    <s v="Mahindra"/>
    <x v="1"/>
    <x v="4"/>
    <x v="1"/>
    <s v="Automatic"/>
    <d v="2026-02-26T00:00:00"/>
    <d v="2026-04-11T00:00:00"/>
    <n v="1432773"/>
    <n v="61354"/>
    <n v="1371419"/>
    <x v="2"/>
    <x v="3"/>
    <s v="No"/>
    <s v="No"/>
    <n v="3.4"/>
    <x v="0"/>
    <n v="4"/>
    <s v="April"/>
  </r>
  <r>
    <s v="C0692"/>
    <s v="Vikram Rao"/>
    <n v="53"/>
    <x v="1"/>
    <x v="2"/>
    <s v="Tamil Nadu"/>
    <s v="Mahindra"/>
    <x v="0"/>
    <x v="0"/>
    <x v="0"/>
    <s v="Automatic"/>
    <d v="2025-02-25T00:00:00"/>
    <d v="2025-03-24T00:00:00"/>
    <n v="1774407"/>
    <n v="97458"/>
    <n v="1676949"/>
    <x v="2"/>
    <x v="3"/>
    <s v="Yes"/>
    <s v="No"/>
    <n v="4.8"/>
    <x v="0"/>
    <n v="3"/>
    <s v="March"/>
  </r>
  <r>
    <s v="C0693"/>
    <s v="Karthik S"/>
    <n v="36"/>
    <x v="1"/>
    <x v="1"/>
    <s v="Tamil Nadu"/>
    <s v="Mahindra"/>
    <x v="0"/>
    <x v="1"/>
    <x v="1"/>
    <s v="Automatic"/>
    <d v="2025-06-07T00:00:00"/>
    <d v="2025-07-06T00:00:00"/>
    <n v="1489126"/>
    <n v="74190"/>
    <n v="1414936"/>
    <x v="0"/>
    <x v="3"/>
    <s v="Yes"/>
    <s v="Yes"/>
    <n v="3.1"/>
    <x v="0"/>
    <n v="7"/>
    <s v="July"/>
  </r>
  <r>
    <s v="C0694"/>
    <s v="Priya Nair"/>
    <n v="24"/>
    <x v="1"/>
    <x v="3"/>
    <s v="Maharashtra"/>
    <s v="Mahindra"/>
    <x v="0"/>
    <x v="0"/>
    <x v="0"/>
    <s v="Manual"/>
    <d v="2025-03-17T00:00:00"/>
    <d v="2025-04-15T00:00:00"/>
    <n v="1781745"/>
    <n v="67150"/>
    <n v="1714595"/>
    <x v="3"/>
    <x v="3"/>
    <s v="Yes"/>
    <s v="No"/>
    <n v="4.0999999999999996"/>
    <x v="0"/>
    <n v="4"/>
    <s v="April"/>
  </r>
  <r>
    <s v="C0695"/>
    <s v="Anjali Verma"/>
    <n v="30"/>
    <x v="0"/>
    <x v="0"/>
    <s v="Telangana"/>
    <s v="Mahindra"/>
    <x v="1"/>
    <x v="2"/>
    <x v="0"/>
    <s v="Automatic"/>
    <d v="2025-03-29T00:00:00"/>
    <d v="2025-05-02T00:00:00"/>
    <n v="1480069"/>
    <n v="52974"/>
    <n v="1427095"/>
    <x v="0"/>
    <x v="1"/>
    <s v="Yes"/>
    <s v="Yes"/>
    <n v="4.2"/>
    <x v="0"/>
    <n v="5"/>
    <s v="May"/>
  </r>
  <r>
    <s v="C0696"/>
    <s v="Priya Nair"/>
    <n v="33"/>
    <x v="0"/>
    <x v="0"/>
    <s v="Telangana"/>
    <s v="Mahindra"/>
    <x v="1"/>
    <x v="4"/>
    <x v="1"/>
    <s v="Manual"/>
    <d v="2026-03-01T00:00:00"/>
    <d v="2026-03-23T00:00:00"/>
    <n v="1464675"/>
    <n v="62534"/>
    <n v="1402141"/>
    <x v="1"/>
    <x v="4"/>
    <s v="Yes"/>
    <s v="Yes"/>
    <n v="4.2"/>
    <x v="0"/>
    <n v="3"/>
    <s v="March"/>
  </r>
  <r>
    <s v="C0697"/>
    <s v="Karthik S"/>
    <n v="21"/>
    <x v="1"/>
    <x v="1"/>
    <s v="Tamil Nadu"/>
    <s v="Mahindra"/>
    <x v="0"/>
    <x v="0"/>
    <x v="1"/>
    <s v="Manual"/>
    <d v="2025-05-18T00:00:00"/>
    <d v="2025-06-11T00:00:00"/>
    <n v="1564038"/>
    <n v="19531"/>
    <n v="1544507"/>
    <x v="2"/>
    <x v="1"/>
    <s v="No"/>
    <s v="Yes"/>
    <n v="4.3"/>
    <x v="0"/>
    <n v="6"/>
    <s v="June"/>
  </r>
  <r>
    <s v="C0698"/>
    <s v="Rahul Sharma"/>
    <n v="35"/>
    <x v="1"/>
    <x v="2"/>
    <s v="Tamil Nadu"/>
    <s v="Mahindra"/>
    <x v="2"/>
    <x v="1"/>
    <x v="1"/>
    <s v="Manual"/>
    <d v="2025-10-29T00:00:00"/>
    <d v="2025-12-05T00:00:00"/>
    <n v="1439941"/>
    <n v="94712"/>
    <n v="1345229"/>
    <x v="0"/>
    <x v="0"/>
    <s v="Yes"/>
    <s v="No"/>
    <n v="4.5999999999999996"/>
    <x v="0"/>
    <n v="12"/>
    <s v="December"/>
  </r>
  <r>
    <s v="C0699"/>
    <s v="Meera Iyer"/>
    <n v="33"/>
    <x v="1"/>
    <x v="3"/>
    <s v="Maharashtra"/>
    <s v="Mahindra"/>
    <x v="0"/>
    <x v="1"/>
    <x v="0"/>
    <s v="Manual"/>
    <d v="2025-10-29T00:00:00"/>
    <d v="2025-12-09T00:00:00"/>
    <n v="1320682"/>
    <n v="48681"/>
    <n v="1272001"/>
    <x v="1"/>
    <x v="3"/>
    <s v="Yes"/>
    <s v="No"/>
    <n v="3.5"/>
    <x v="0"/>
    <n v="12"/>
    <s v="December"/>
  </r>
  <r>
    <s v="C0700"/>
    <s v="Vikram Rao"/>
    <n v="38"/>
    <x v="1"/>
    <x v="4"/>
    <s v="Karnataka"/>
    <s v="Mahindra"/>
    <x v="1"/>
    <x v="3"/>
    <x v="1"/>
    <s v="Automatic"/>
    <d v="2026-01-30T00:00:00"/>
    <d v="2026-03-03T00:00:00"/>
    <n v="1561689"/>
    <n v="40804"/>
    <n v="1520885"/>
    <x v="4"/>
    <x v="1"/>
    <s v="Yes"/>
    <s v="No"/>
    <n v="3.8"/>
    <x v="0"/>
    <n v="3"/>
    <s v="March"/>
  </r>
  <r>
    <s v="C0701"/>
    <s v="Arjun Kumar"/>
    <n v="42"/>
    <x v="0"/>
    <x v="1"/>
    <s v="Tamil Nadu"/>
    <s v="Mahindra"/>
    <x v="0"/>
    <x v="3"/>
    <x v="0"/>
    <s v="Manual"/>
    <d v="2025-10-25T00:00:00"/>
    <d v="2025-11-02T00:00:00"/>
    <n v="1700510"/>
    <n v="53913"/>
    <n v="1646597"/>
    <x v="1"/>
    <x v="0"/>
    <s v="No"/>
    <s v="No"/>
    <n v="4"/>
    <x v="2"/>
    <n v="11"/>
    <s v="November"/>
  </r>
  <r>
    <s v="C0702"/>
    <s v="Vikram Rao"/>
    <n v="34"/>
    <x v="0"/>
    <x v="3"/>
    <s v="Maharashtra"/>
    <s v="Mahindra"/>
    <x v="1"/>
    <x v="3"/>
    <x v="1"/>
    <s v="Manual"/>
    <d v="2025-03-16T00:00:00"/>
    <d v="2025-04-18T00:00:00"/>
    <n v="1323738"/>
    <n v="95511"/>
    <n v="1228227"/>
    <x v="3"/>
    <x v="2"/>
    <s v="Yes"/>
    <s v="No"/>
    <n v="3.6"/>
    <x v="0"/>
    <n v="4"/>
    <s v="April"/>
  </r>
  <r>
    <s v="C0703"/>
    <s v="Sneha Patel"/>
    <n v="37"/>
    <x v="0"/>
    <x v="0"/>
    <s v="Telangana"/>
    <s v="Mahindra"/>
    <x v="0"/>
    <x v="1"/>
    <x v="0"/>
    <s v="Automatic"/>
    <d v="2025-11-10T00:00:00"/>
    <d v="2025-12-01T00:00:00"/>
    <n v="1701310"/>
    <n v="74850"/>
    <n v="1626460"/>
    <x v="3"/>
    <x v="4"/>
    <s v="No"/>
    <s v="No"/>
    <n v="3.9"/>
    <x v="0"/>
    <n v="12"/>
    <s v="December"/>
  </r>
  <r>
    <s v="C0704"/>
    <s v="Pooja Das"/>
    <n v="23"/>
    <x v="0"/>
    <x v="3"/>
    <s v="Maharashtra"/>
    <s v="Mahindra"/>
    <x v="0"/>
    <x v="3"/>
    <x v="1"/>
    <s v="Manual"/>
    <d v="2025-10-21T00:00:00"/>
    <d v="2025-10-31T00:00:00"/>
    <n v="1518865"/>
    <n v="52764"/>
    <n v="1466101"/>
    <x v="3"/>
    <x v="2"/>
    <s v="Yes"/>
    <s v="Yes"/>
    <n v="3.7"/>
    <x v="2"/>
    <n v="10"/>
    <s v="October"/>
  </r>
  <r>
    <s v="C0705"/>
    <s v="Anjali Verma"/>
    <n v="56"/>
    <x v="0"/>
    <x v="2"/>
    <s v="Tamil Nadu"/>
    <s v="Mahindra"/>
    <x v="2"/>
    <x v="3"/>
    <x v="1"/>
    <s v="Manual"/>
    <d v="2026-04-09T00:00:00"/>
    <d v="2026-05-10T00:00:00"/>
    <n v="1884262"/>
    <n v="44058"/>
    <n v="1840204"/>
    <x v="1"/>
    <x v="3"/>
    <s v="Yes"/>
    <s v="No"/>
    <n v="5"/>
    <x v="0"/>
    <n v="5"/>
    <s v="May"/>
  </r>
  <r>
    <s v="C0706"/>
    <s v="Anjali Verma"/>
    <n v="47"/>
    <x v="0"/>
    <x v="0"/>
    <s v="Telangana"/>
    <s v="Mahindra"/>
    <x v="1"/>
    <x v="3"/>
    <x v="1"/>
    <s v="Automatic"/>
    <d v="2025-11-10T00:00:00"/>
    <d v="2025-12-16T00:00:00"/>
    <n v="1637115"/>
    <n v="68282"/>
    <n v="1568833"/>
    <x v="4"/>
    <x v="1"/>
    <s v="No"/>
    <s v="Yes"/>
    <n v="3.1"/>
    <x v="0"/>
    <n v="12"/>
    <s v="December"/>
  </r>
  <r>
    <s v="C0707"/>
    <s v="Priya Nair"/>
    <n v="59"/>
    <x v="1"/>
    <x v="1"/>
    <s v="Tamil Nadu"/>
    <s v="Mahindra"/>
    <x v="2"/>
    <x v="1"/>
    <x v="0"/>
    <s v="Automatic"/>
    <d v="2025-07-03T00:00:00"/>
    <d v="2025-08-14T00:00:00"/>
    <n v="1655973"/>
    <n v="22531"/>
    <n v="1633442"/>
    <x v="2"/>
    <x v="1"/>
    <s v="No"/>
    <s v="No"/>
    <n v="5"/>
    <x v="0"/>
    <n v="8"/>
    <s v="August"/>
  </r>
  <r>
    <s v="C0708"/>
    <s v="Priya Nair"/>
    <n v="41"/>
    <x v="0"/>
    <x v="4"/>
    <s v="Karnataka"/>
    <s v="Mahindra"/>
    <x v="0"/>
    <x v="4"/>
    <x v="0"/>
    <s v="Automatic"/>
    <d v="2026-03-15T00:00:00"/>
    <d v="2026-04-13T00:00:00"/>
    <n v="1358152"/>
    <n v="92243"/>
    <n v="1265909"/>
    <x v="1"/>
    <x v="3"/>
    <s v="No"/>
    <s v="No"/>
    <n v="3.9"/>
    <x v="0"/>
    <n v="4"/>
    <s v="April"/>
  </r>
  <r>
    <s v="C0709"/>
    <s v="Vikram Rao"/>
    <n v="24"/>
    <x v="1"/>
    <x v="1"/>
    <s v="Tamil Nadu"/>
    <s v="Mahindra"/>
    <x v="1"/>
    <x v="4"/>
    <x v="0"/>
    <s v="Manual"/>
    <d v="2025-07-07T00:00:00"/>
    <d v="2025-07-15T00:00:00"/>
    <n v="1348009"/>
    <n v="68009"/>
    <n v="1280000"/>
    <x v="1"/>
    <x v="2"/>
    <s v="No"/>
    <s v="No"/>
    <n v="4.5999999999999996"/>
    <x v="2"/>
    <n v="7"/>
    <s v="July"/>
  </r>
  <r>
    <s v="C0710"/>
    <s v="Vikram Rao"/>
    <n v="42"/>
    <x v="1"/>
    <x v="3"/>
    <s v="Maharashtra"/>
    <s v="Mahindra"/>
    <x v="2"/>
    <x v="3"/>
    <x v="0"/>
    <s v="Manual"/>
    <d v="2025-07-25T00:00:00"/>
    <d v="2025-08-20T00:00:00"/>
    <n v="1763672"/>
    <n v="27342"/>
    <n v="1736330"/>
    <x v="2"/>
    <x v="4"/>
    <s v="Yes"/>
    <s v="No"/>
    <n v="3.1"/>
    <x v="0"/>
    <n v="8"/>
    <s v="August"/>
  </r>
  <r>
    <s v="C0711"/>
    <s v="Karthik S"/>
    <n v="54"/>
    <x v="1"/>
    <x v="1"/>
    <s v="Tamil Nadu"/>
    <s v="Mahindra"/>
    <x v="0"/>
    <x v="1"/>
    <x v="1"/>
    <s v="Manual"/>
    <d v="2025-09-28T00:00:00"/>
    <d v="2025-10-27T00:00:00"/>
    <n v="1671642"/>
    <n v="28964"/>
    <n v="1642678"/>
    <x v="1"/>
    <x v="1"/>
    <s v="No"/>
    <s v="Yes"/>
    <n v="3.1"/>
    <x v="0"/>
    <n v="10"/>
    <s v="October"/>
  </r>
  <r>
    <s v="C0712"/>
    <s v="Vikram Rao"/>
    <n v="58"/>
    <x v="1"/>
    <x v="0"/>
    <s v="Telangana"/>
    <s v="Mahindra"/>
    <x v="2"/>
    <x v="0"/>
    <x v="1"/>
    <s v="Manual"/>
    <d v="2025-04-12T00:00:00"/>
    <d v="2025-05-16T00:00:00"/>
    <n v="1479723"/>
    <n v="94825"/>
    <n v="1384898"/>
    <x v="3"/>
    <x v="3"/>
    <s v="No"/>
    <s v="Yes"/>
    <n v="3.9"/>
    <x v="0"/>
    <n v="5"/>
    <s v="May"/>
  </r>
  <r>
    <s v="C0713"/>
    <s v="Anjali Verma"/>
    <n v="47"/>
    <x v="1"/>
    <x v="2"/>
    <s v="Tamil Nadu"/>
    <s v="Mahindra"/>
    <x v="1"/>
    <x v="0"/>
    <x v="0"/>
    <s v="Automatic"/>
    <d v="2025-11-18T00:00:00"/>
    <d v="2025-12-30T00:00:00"/>
    <n v="1865999"/>
    <n v="81301"/>
    <n v="1784698"/>
    <x v="1"/>
    <x v="1"/>
    <s v="Yes"/>
    <s v="Yes"/>
    <n v="4.7"/>
    <x v="0"/>
    <n v="12"/>
    <s v="December"/>
  </r>
  <r>
    <s v="C0714"/>
    <s v="Karthik S"/>
    <n v="51"/>
    <x v="0"/>
    <x v="5"/>
    <s v="Tamil Nadu"/>
    <s v="Mahindra"/>
    <x v="1"/>
    <x v="0"/>
    <x v="1"/>
    <s v="Automatic"/>
    <d v="2025-01-02T00:00:00"/>
    <d v="2025-01-27T00:00:00"/>
    <n v="1483849"/>
    <n v="99810"/>
    <n v="1384039"/>
    <x v="2"/>
    <x v="1"/>
    <s v="No"/>
    <s v="No"/>
    <n v="3.4"/>
    <x v="0"/>
    <n v="1"/>
    <s v="January"/>
  </r>
  <r>
    <s v="C0715"/>
    <s v="Meera Iyer"/>
    <n v="58"/>
    <x v="1"/>
    <x v="5"/>
    <s v="Tamil Nadu"/>
    <s v="Mahindra"/>
    <x v="2"/>
    <x v="0"/>
    <x v="0"/>
    <s v="Automatic"/>
    <d v="2025-02-21T00:00:00"/>
    <d v="2025-03-14T00:00:00"/>
    <n v="1683015"/>
    <n v="45934"/>
    <n v="1637081"/>
    <x v="2"/>
    <x v="1"/>
    <s v="Yes"/>
    <s v="No"/>
    <n v="3.9"/>
    <x v="0"/>
    <n v="3"/>
    <s v="March"/>
  </r>
  <r>
    <s v="C0716"/>
    <s v="Rahul Sharma"/>
    <n v="51"/>
    <x v="0"/>
    <x v="0"/>
    <s v="Telangana"/>
    <s v="Mahindra"/>
    <x v="2"/>
    <x v="2"/>
    <x v="1"/>
    <s v="Manual"/>
    <d v="2026-03-14T00:00:00"/>
    <d v="2026-03-29T00:00:00"/>
    <n v="1558716"/>
    <n v="22392"/>
    <n v="1536324"/>
    <x v="2"/>
    <x v="1"/>
    <s v="No"/>
    <s v="Yes"/>
    <n v="3.3"/>
    <x v="1"/>
    <n v="3"/>
    <s v="March"/>
  </r>
  <r>
    <s v="C0717"/>
    <s v="Pooja Das"/>
    <n v="22"/>
    <x v="0"/>
    <x v="3"/>
    <s v="Maharashtra"/>
    <s v="Mahindra"/>
    <x v="0"/>
    <x v="3"/>
    <x v="0"/>
    <s v="Automatic"/>
    <d v="2025-01-18T00:00:00"/>
    <d v="2025-02-14T00:00:00"/>
    <n v="1815512"/>
    <n v="31749"/>
    <n v="1783763"/>
    <x v="2"/>
    <x v="2"/>
    <s v="No"/>
    <s v="Yes"/>
    <n v="3.9"/>
    <x v="0"/>
    <n v="2"/>
    <s v="February"/>
  </r>
  <r>
    <s v="C0718"/>
    <s v="Vikram Rao"/>
    <n v="51"/>
    <x v="1"/>
    <x v="5"/>
    <s v="Tamil Nadu"/>
    <s v="Mahindra"/>
    <x v="1"/>
    <x v="2"/>
    <x v="0"/>
    <s v="Automatic"/>
    <d v="2025-06-04T00:00:00"/>
    <d v="2025-06-30T00:00:00"/>
    <n v="1528211"/>
    <n v="62244"/>
    <n v="1465967"/>
    <x v="2"/>
    <x v="3"/>
    <s v="Yes"/>
    <s v="Yes"/>
    <n v="4.7"/>
    <x v="0"/>
    <n v="6"/>
    <s v="June"/>
  </r>
  <r>
    <s v="C0719"/>
    <s v="Pooja Das"/>
    <n v="39"/>
    <x v="1"/>
    <x v="3"/>
    <s v="Maharashtra"/>
    <s v="Mahindra"/>
    <x v="2"/>
    <x v="0"/>
    <x v="0"/>
    <s v="Manual"/>
    <d v="2025-10-16T00:00:00"/>
    <d v="2025-11-25T00:00:00"/>
    <n v="1530061"/>
    <n v="82491"/>
    <n v="1447570"/>
    <x v="2"/>
    <x v="0"/>
    <s v="No"/>
    <s v="No"/>
    <n v="4.9000000000000004"/>
    <x v="0"/>
    <n v="11"/>
    <s v="November"/>
  </r>
  <r>
    <s v="C0720"/>
    <s v="Vikram Rao"/>
    <n v="31"/>
    <x v="1"/>
    <x v="2"/>
    <s v="Tamil Nadu"/>
    <s v="Mahindra"/>
    <x v="0"/>
    <x v="2"/>
    <x v="1"/>
    <s v="Automatic"/>
    <d v="2025-01-09T00:00:00"/>
    <d v="2025-01-19T00:00:00"/>
    <n v="1497307"/>
    <n v="84934"/>
    <n v="1412373"/>
    <x v="4"/>
    <x v="4"/>
    <s v="Yes"/>
    <s v="Yes"/>
    <n v="4.5999999999999996"/>
    <x v="2"/>
    <n v="1"/>
    <s v="January"/>
  </r>
  <r>
    <s v="C0721"/>
    <s v="Pooja Das"/>
    <n v="50"/>
    <x v="0"/>
    <x v="0"/>
    <s v="Telangana"/>
    <s v="Mahindra"/>
    <x v="1"/>
    <x v="2"/>
    <x v="1"/>
    <s v="Manual"/>
    <d v="2025-07-07T00:00:00"/>
    <d v="2025-07-23T00:00:00"/>
    <n v="1629031"/>
    <n v="27208"/>
    <n v="1601823"/>
    <x v="3"/>
    <x v="1"/>
    <s v="No"/>
    <s v="Yes"/>
    <n v="4.7"/>
    <x v="1"/>
    <n v="7"/>
    <s v="July"/>
  </r>
  <r>
    <s v="C0722"/>
    <s v="Karthik S"/>
    <n v="53"/>
    <x v="0"/>
    <x v="2"/>
    <s v="Tamil Nadu"/>
    <s v="Mahindra"/>
    <x v="0"/>
    <x v="3"/>
    <x v="0"/>
    <s v="Automatic"/>
    <d v="2025-09-28T00:00:00"/>
    <d v="2025-11-09T00:00:00"/>
    <n v="1508314"/>
    <n v="45648"/>
    <n v="1462666"/>
    <x v="4"/>
    <x v="0"/>
    <s v="Yes"/>
    <s v="No"/>
    <n v="4.7"/>
    <x v="0"/>
    <n v="11"/>
    <s v="November"/>
  </r>
  <r>
    <s v="C0723"/>
    <s v="Vikram Rao"/>
    <n v="42"/>
    <x v="0"/>
    <x v="5"/>
    <s v="Tamil Nadu"/>
    <s v="Mahindra"/>
    <x v="1"/>
    <x v="1"/>
    <x v="1"/>
    <s v="Manual"/>
    <d v="2026-01-21T00:00:00"/>
    <d v="2026-02-13T00:00:00"/>
    <n v="1325965"/>
    <n v="35382"/>
    <n v="1290583"/>
    <x v="0"/>
    <x v="4"/>
    <s v="Yes"/>
    <s v="Yes"/>
    <n v="4"/>
    <x v="0"/>
    <n v="2"/>
    <s v="February"/>
  </r>
  <r>
    <s v="C0724"/>
    <s v="Meera Iyer"/>
    <n v="43"/>
    <x v="1"/>
    <x v="0"/>
    <s v="Telangana"/>
    <s v="Mahindra"/>
    <x v="0"/>
    <x v="4"/>
    <x v="1"/>
    <s v="Manual"/>
    <d v="2025-08-03T00:00:00"/>
    <d v="2025-09-14T00:00:00"/>
    <n v="1525910"/>
    <n v="31601"/>
    <n v="1494309"/>
    <x v="2"/>
    <x v="1"/>
    <s v="Yes"/>
    <s v="No"/>
    <n v="3.3"/>
    <x v="0"/>
    <n v="9"/>
    <s v="September"/>
  </r>
  <r>
    <s v="C0725"/>
    <s v="Meera Iyer"/>
    <n v="35"/>
    <x v="1"/>
    <x v="4"/>
    <s v="Karnataka"/>
    <s v="Mahindra"/>
    <x v="0"/>
    <x v="1"/>
    <x v="0"/>
    <s v="Manual"/>
    <d v="2026-06-24T00:00:00"/>
    <d v="2026-08-07T00:00:00"/>
    <n v="1624038"/>
    <n v="89182"/>
    <n v="1534856"/>
    <x v="0"/>
    <x v="1"/>
    <s v="No"/>
    <s v="Yes"/>
    <n v="3.6"/>
    <x v="0"/>
    <n v="8"/>
    <s v="August"/>
  </r>
  <r>
    <s v="C0726"/>
    <s v="Vikram Rao"/>
    <n v="58"/>
    <x v="0"/>
    <x v="3"/>
    <s v="Maharashtra"/>
    <s v="Mahindra"/>
    <x v="1"/>
    <x v="4"/>
    <x v="1"/>
    <s v="Manual"/>
    <d v="2026-04-21T00:00:00"/>
    <d v="2026-05-21T00:00:00"/>
    <n v="1631468"/>
    <n v="24347"/>
    <n v="1607121"/>
    <x v="3"/>
    <x v="4"/>
    <s v="No"/>
    <s v="No"/>
    <n v="3.5"/>
    <x v="0"/>
    <n v="5"/>
    <s v="May"/>
  </r>
  <r>
    <s v="C0727"/>
    <s v="Anjali Verma"/>
    <n v="45"/>
    <x v="0"/>
    <x v="1"/>
    <s v="Tamil Nadu"/>
    <s v="Mahindra"/>
    <x v="1"/>
    <x v="4"/>
    <x v="0"/>
    <s v="Automatic"/>
    <d v="2025-04-22T00:00:00"/>
    <d v="2025-04-30T00:00:00"/>
    <n v="1539779"/>
    <n v="97054"/>
    <n v="1442725"/>
    <x v="3"/>
    <x v="1"/>
    <s v="No"/>
    <s v="No"/>
    <n v="4.7"/>
    <x v="2"/>
    <n v="4"/>
    <s v="April"/>
  </r>
  <r>
    <s v="C0728"/>
    <s v="Rohit Singh"/>
    <n v="58"/>
    <x v="1"/>
    <x v="1"/>
    <s v="Tamil Nadu"/>
    <s v="Mahindra"/>
    <x v="2"/>
    <x v="4"/>
    <x v="0"/>
    <s v="Manual"/>
    <d v="2025-09-10T00:00:00"/>
    <d v="2025-10-11T00:00:00"/>
    <n v="1355276"/>
    <n v="47463"/>
    <n v="1307813"/>
    <x v="2"/>
    <x v="1"/>
    <s v="No"/>
    <s v="Yes"/>
    <n v="3.3"/>
    <x v="0"/>
    <n v="10"/>
    <s v="October"/>
  </r>
  <r>
    <s v="C0729"/>
    <s v="Rohit Singh"/>
    <n v="43"/>
    <x v="1"/>
    <x v="5"/>
    <s v="Tamil Nadu"/>
    <s v="Mahindra"/>
    <x v="1"/>
    <x v="0"/>
    <x v="0"/>
    <s v="Manual"/>
    <d v="2025-07-04T00:00:00"/>
    <d v="2025-08-07T00:00:00"/>
    <n v="1591118"/>
    <n v="42863"/>
    <n v="1548255"/>
    <x v="4"/>
    <x v="4"/>
    <s v="Yes"/>
    <s v="Yes"/>
    <n v="3.6"/>
    <x v="0"/>
    <n v="8"/>
    <s v="August"/>
  </r>
  <r>
    <s v="C0730"/>
    <s v="Anjali Verma"/>
    <n v="22"/>
    <x v="0"/>
    <x v="5"/>
    <s v="Tamil Nadu"/>
    <s v="Mahindra"/>
    <x v="1"/>
    <x v="1"/>
    <x v="1"/>
    <s v="Automatic"/>
    <d v="2025-12-31T00:00:00"/>
    <d v="2026-01-08T00:00:00"/>
    <n v="1827881"/>
    <n v="51914"/>
    <n v="1775967"/>
    <x v="4"/>
    <x v="3"/>
    <s v="No"/>
    <s v="Yes"/>
    <n v="4.7"/>
    <x v="2"/>
    <n v="1"/>
    <s v="January"/>
  </r>
  <r>
    <s v="C0731"/>
    <s v="Karthik S"/>
    <n v="22"/>
    <x v="1"/>
    <x v="0"/>
    <s v="Telangana"/>
    <s v="Mahindra"/>
    <x v="0"/>
    <x v="2"/>
    <x v="1"/>
    <s v="Automatic"/>
    <d v="2026-05-05T00:00:00"/>
    <d v="2026-06-14T00:00:00"/>
    <n v="1897525"/>
    <n v="13779"/>
    <n v="1883746"/>
    <x v="0"/>
    <x v="3"/>
    <s v="No"/>
    <s v="Yes"/>
    <n v="4.2"/>
    <x v="0"/>
    <n v="6"/>
    <s v="June"/>
  </r>
  <r>
    <s v="C0732"/>
    <s v="Rahul Sharma"/>
    <n v="22"/>
    <x v="0"/>
    <x v="5"/>
    <s v="Tamil Nadu"/>
    <s v="Mahindra"/>
    <x v="1"/>
    <x v="1"/>
    <x v="1"/>
    <s v="Manual"/>
    <d v="2025-10-25T00:00:00"/>
    <d v="2025-12-02T00:00:00"/>
    <n v="1705625"/>
    <n v="57416"/>
    <n v="1648209"/>
    <x v="4"/>
    <x v="0"/>
    <s v="No"/>
    <s v="Yes"/>
    <n v="4.8"/>
    <x v="0"/>
    <n v="12"/>
    <s v="December"/>
  </r>
  <r>
    <s v="C0733"/>
    <s v="Priya Nair"/>
    <n v="38"/>
    <x v="1"/>
    <x v="3"/>
    <s v="Maharashtra"/>
    <s v="Mahindra"/>
    <x v="0"/>
    <x v="4"/>
    <x v="1"/>
    <s v="Automatic"/>
    <d v="2025-02-03T00:00:00"/>
    <d v="2025-02-23T00:00:00"/>
    <n v="1488693"/>
    <n v="31803"/>
    <n v="1456890"/>
    <x v="4"/>
    <x v="3"/>
    <s v="No"/>
    <s v="Yes"/>
    <n v="3.8"/>
    <x v="1"/>
    <n v="2"/>
    <s v="February"/>
  </r>
  <r>
    <s v="C0734"/>
    <s v="Anjali Verma"/>
    <n v="60"/>
    <x v="0"/>
    <x v="3"/>
    <s v="Maharashtra"/>
    <s v="Mahindra"/>
    <x v="1"/>
    <x v="0"/>
    <x v="1"/>
    <s v="Automatic"/>
    <d v="2025-11-11T00:00:00"/>
    <d v="2025-11-20T00:00:00"/>
    <n v="1336602"/>
    <n v="21486"/>
    <n v="1315116"/>
    <x v="1"/>
    <x v="1"/>
    <s v="No"/>
    <s v="No"/>
    <n v="4"/>
    <x v="2"/>
    <n v="11"/>
    <s v="November"/>
  </r>
  <r>
    <s v="C0735"/>
    <s v="Meera Iyer"/>
    <n v="53"/>
    <x v="1"/>
    <x v="0"/>
    <s v="Telangana"/>
    <s v="Mahindra"/>
    <x v="0"/>
    <x v="2"/>
    <x v="1"/>
    <s v="Automatic"/>
    <d v="2025-01-18T00:00:00"/>
    <d v="2025-02-19T00:00:00"/>
    <n v="1591515"/>
    <n v="48830"/>
    <n v="1542685"/>
    <x v="1"/>
    <x v="3"/>
    <s v="Yes"/>
    <s v="No"/>
    <n v="4.7"/>
    <x v="0"/>
    <n v="2"/>
    <s v="February"/>
  </r>
  <r>
    <s v="C0736"/>
    <s v="Rohit Singh"/>
    <n v="21"/>
    <x v="1"/>
    <x v="3"/>
    <s v="Maharashtra"/>
    <s v="Mahindra"/>
    <x v="1"/>
    <x v="0"/>
    <x v="1"/>
    <s v="Automatic"/>
    <d v="2025-05-09T00:00:00"/>
    <d v="2025-05-17T00:00:00"/>
    <n v="1670241"/>
    <n v="17287"/>
    <n v="1652954"/>
    <x v="4"/>
    <x v="3"/>
    <s v="No"/>
    <s v="No"/>
    <n v="4.9000000000000004"/>
    <x v="2"/>
    <n v="5"/>
    <s v="May"/>
  </r>
  <r>
    <s v="C0737"/>
    <s v="Arjun Kumar"/>
    <n v="46"/>
    <x v="1"/>
    <x v="0"/>
    <s v="Telangana"/>
    <s v="Mahindra"/>
    <x v="0"/>
    <x v="1"/>
    <x v="0"/>
    <s v="Manual"/>
    <d v="2026-05-09T00:00:00"/>
    <d v="2026-05-27T00:00:00"/>
    <n v="1401008"/>
    <n v="70778"/>
    <n v="1330230"/>
    <x v="2"/>
    <x v="3"/>
    <s v="No"/>
    <s v="No"/>
    <n v="3.9"/>
    <x v="1"/>
    <n v="5"/>
    <s v="May"/>
  </r>
  <r>
    <s v="C0738"/>
    <s v="Vikram Rao"/>
    <n v="21"/>
    <x v="0"/>
    <x v="4"/>
    <s v="Karnataka"/>
    <s v="Mahindra"/>
    <x v="1"/>
    <x v="0"/>
    <x v="0"/>
    <s v="Automatic"/>
    <d v="2026-02-24T00:00:00"/>
    <d v="2026-03-13T00:00:00"/>
    <n v="1460383"/>
    <n v="47698"/>
    <n v="1412685"/>
    <x v="2"/>
    <x v="4"/>
    <s v="Yes"/>
    <s v="No"/>
    <n v="4.5"/>
    <x v="1"/>
    <n v="3"/>
    <s v="March"/>
  </r>
  <r>
    <s v="C0739"/>
    <s v="Rahul Sharma"/>
    <n v="42"/>
    <x v="1"/>
    <x v="4"/>
    <s v="Karnataka"/>
    <s v="Mahindra"/>
    <x v="1"/>
    <x v="4"/>
    <x v="0"/>
    <s v="Manual"/>
    <d v="2025-01-10T00:00:00"/>
    <d v="2025-02-05T00:00:00"/>
    <n v="1862253"/>
    <n v="34024"/>
    <n v="1828229"/>
    <x v="4"/>
    <x v="1"/>
    <s v="No"/>
    <s v="Yes"/>
    <n v="4.7"/>
    <x v="0"/>
    <n v="2"/>
    <s v="February"/>
  </r>
  <r>
    <s v="C0740"/>
    <s v="Meera Iyer"/>
    <n v="25"/>
    <x v="0"/>
    <x v="5"/>
    <s v="Tamil Nadu"/>
    <s v="Mahindra"/>
    <x v="2"/>
    <x v="0"/>
    <x v="0"/>
    <s v="Automatic"/>
    <d v="2026-05-17T00:00:00"/>
    <d v="2026-06-27T00:00:00"/>
    <n v="1402407"/>
    <n v="33116"/>
    <n v="1369291"/>
    <x v="2"/>
    <x v="3"/>
    <s v="Yes"/>
    <s v="No"/>
    <n v="4.9000000000000004"/>
    <x v="0"/>
    <n v="6"/>
    <s v="June"/>
  </r>
  <r>
    <s v="C0741"/>
    <s v="Sneha Patel"/>
    <n v="56"/>
    <x v="1"/>
    <x v="0"/>
    <s v="Telangana"/>
    <s v="Mahindra"/>
    <x v="0"/>
    <x v="3"/>
    <x v="1"/>
    <s v="Manual"/>
    <d v="2025-06-12T00:00:00"/>
    <d v="2025-07-19T00:00:00"/>
    <n v="1481306"/>
    <n v="13414"/>
    <n v="1467892"/>
    <x v="3"/>
    <x v="3"/>
    <s v="Yes"/>
    <s v="No"/>
    <n v="3.8"/>
    <x v="0"/>
    <n v="7"/>
    <s v="July"/>
  </r>
  <r>
    <s v="C0742"/>
    <s v="Anjali Verma"/>
    <n v="25"/>
    <x v="0"/>
    <x v="4"/>
    <s v="Karnataka"/>
    <s v="Mahindra"/>
    <x v="0"/>
    <x v="4"/>
    <x v="1"/>
    <s v="Automatic"/>
    <d v="2025-04-03T00:00:00"/>
    <d v="2025-05-11T00:00:00"/>
    <n v="1844673"/>
    <n v="32087"/>
    <n v="1812586"/>
    <x v="3"/>
    <x v="1"/>
    <s v="Yes"/>
    <s v="No"/>
    <n v="3.6"/>
    <x v="0"/>
    <n v="5"/>
    <s v="May"/>
  </r>
  <r>
    <s v="C0743"/>
    <s v="Pooja Das"/>
    <n v="25"/>
    <x v="0"/>
    <x v="0"/>
    <s v="Telangana"/>
    <s v="Mahindra"/>
    <x v="0"/>
    <x v="1"/>
    <x v="0"/>
    <s v="Automatic"/>
    <d v="2026-03-29T00:00:00"/>
    <d v="2026-04-26T00:00:00"/>
    <n v="1411255"/>
    <n v="84342"/>
    <n v="1326913"/>
    <x v="4"/>
    <x v="4"/>
    <s v="No"/>
    <s v="Yes"/>
    <n v="4.4000000000000004"/>
    <x v="0"/>
    <n v="4"/>
    <s v="April"/>
  </r>
  <r>
    <s v="C0744"/>
    <s v="Pooja Das"/>
    <n v="50"/>
    <x v="1"/>
    <x v="5"/>
    <s v="Tamil Nadu"/>
    <s v="Mahindra"/>
    <x v="1"/>
    <x v="1"/>
    <x v="1"/>
    <s v="Automatic"/>
    <d v="2025-01-23T00:00:00"/>
    <d v="2025-03-07T00:00:00"/>
    <n v="1312326"/>
    <n v="89378"/>
    <n v="1222948"/>
    <x v="2"/>
    <x v="2"/>
    <s v="Yes"/>
    <s v="Yes"/>
    <n v="4.7"/>
    <x v="0"/>
    <n v="3"/>
    <s v="March"/>
  </r>
  <r>
    <s v="C0745"/>
    <s v="Priya Nair"/>
    <n v="49"/>
    <x v="1"/>
    <x v="4"/>
    <s v="Karnataka"/>
    <s v="Mahindra"/>
    <x v="0"/>
    <x v="1"/>
    <x v="0"/>
    <s v="Manual"/>
    <d v="2025-05-20T00:00:00"/>
    <d v="2025-06-10T00:00:00"/>
    <n v="1727491"/>
    <n v="32037"/>
    <n v="1695454"/>
    <x v="3"/>
    <x v="2"/>
    <s v="No"/>
    <s v="No"/>
    <n v="4.4000000000000004"/>
    <x v="0"/>
    <n v="6"/>
    <s v="June"/>
  </r>
  <r>
    <s v="C0746"/>
    <s v="Meera Iyer"/>
    <n v="26"/>
    <x v="0"/>
    <x v="3"/>
    <s v="Maharashtra"/>
    <s v="Mahindra"/>
    <x v="0"/>
    <x v="3"/>
    <x v="0"/>
    <s v="Automatic"/>
    <d v="2026-04-20T00:00:00"/>
    <d v="2026-05-02T00:00:00"/>
    <n v="1809662"/>
    <n v="96075"/>
    <n v="1713587"/>
    <x v="4"/>
    <x v="1"/>
    <s v="No"/>
    <s v="Yes"/>
    <n v="4.9000000000000004"/>
    <x v="1"/>
    <n v="5"/>
    <s v="May"/>
  </r>
  <r>
    <s v="C0747"/>
    <s v="Priya Nair"/>
    <n v="54"/>
    <x v="1"/>
    <x v="2"/>
    <s v="Tamil Nadu"/>
    <s v="Mahindra"/>
    <x v="2"/>
    <x v="2"/>
    <x v="0"/>
    <s v="Manual"/>
    <d v="2025-11-24T00:00:00"/>
    <d v="2025-12-01T00:00:00"/>
    <n v="1556153"/>
    <n v="64845"/>
    <n v="1491308"/>
    <x v="4"/>
    <x v="3"/>
    <s v="No"/>
    <s v="No"/>
    <n v="3.8"/>
    <x v="2"/>
    <n v="12"/>
    <s v="December"/>
  </r>
  <r>
    <s v="C0748"/>
    <s v="Priya Nair"/>
    <n v="59"/>
    <x v="0"/>
    <x v="2"/>
    <s v="Tamil Nadu"/>
    <s v="Mahindra"/>
    <x v="0"/>
    <x v="2"/>
    <x v="0"/>
    <s v="Manual"/>
    <d v="2025-05-23T00:00:00"/>
    <d v="2025-06-09T00:00:00"/>
    <n v="1731706"/>
    <n v="49845"/>
    <n v="1681861"/>
    <x v="2"/>
    <x v="4"/>
    <s v="No"/>
    <s v="Yes"/>
    <n v="4.8"/>
    <x v="1"/>
    <n v="6"/>
    <s v="June"/>
  </r>
  <r>
    <s v="C0749"/>
    <s v="Rohit Singh"/>
    <n v="28"/>
    <x v="1"/>
    <x v="3"/>
    <s v="Maharashtra"/>
    <s v="Mahindra"/>
    <x v="0"/>
    <x v="3"/>
    <x v="0"/>
    <s v="Automatic"/>
    <d v="2025-10-04T00:00:00"/>
    <d v="2025-11-11T00:00:00"/>
    <n v="1496472"/>
    <n v="80787"/>
    <n v="1415685"/>
    <x v="4"/>
    <x v="2"/>
    <s v="Yes"/>
    <s v="No"/>
    <n v="3.6"/>
    <x v="0"/>
    <n v="11"/>
    <s v="November"/>
  </r>
  <r>
    <s v="C0750"/>
    <s v="Priya Nair"/>
    <n v="56"/>
    <x v="0"/>
    <x v="3"/>
    <s v="Maharashtra"/>
    <s v="Mahindra"/>
    <x v="0"/>
    <x v="2"/>
    <x v="1"/>
    <s v="Manual"/>
    <d v="2025-02-15T00:00:00"/>
    <d v="2025-03-04T00:00:00"/>
    <n v="1312503"/>
    <n v="69933"/>
    <n v="1242570"/>
    <x v="2"/>
    <x v="2"/>
    <s v="Yes"/>
    <s v="No"/>
    <n v="4.5"/>
    <x v="1"/>
    <n v="3"/>
    <s v="March"/>
  </r>
  <r>
    <s v="C0751"/>
    <s v="Priya Nair"/>
    <n v="25"/>
    <x v="0"/>
    <x v="3"/>
    <s v="Maharashtra"/>
    <s v="Mahindra"/>
    <x v="0"/>
    <x v="1"/>
    <x v="0"/>
    <s v="Automatic"/>
    <d v="2026-05-03T00:00:00"/>
    <d v="2026-05-27T00:00:00"/>
    <n v="1535340"/>
    <n v="10594"/>
    <n v="1524746"/>
    <x v="4"/>
    <x v="0"/>
    <s v="No"/>
    <s v="Yes"/>
    <n v="4.5"/>
    <x v="0"/>
    <n v="5"/>
    <s v="May"/>
  </r>
  <r>
    <s v="C0752"/>
    <s v="Rahul Sharma"/>
    <n v="46"/>
    <x v="1"/>
    <x v="2"/>
    <s v="Tamil Nadu"/>
    <s v="Mahindra"/>
    <x v="1"/>
    <x v="3"/>
    <x v="0"/>
    <s v="Automatic"/>
    <d v="2025-02-20T00:00:00"/>
    <d v="2025-03-29T00:00:00"/>
    <n v="1518152"/>
    <n v="98480"/>
    <n v="1419672"/>
    <x v="4"/>
    <x v="2"/>
    <s v="No"/>
    <s v="Yes"/>
    <n v="3.7"/>
    <x v="0"/>
    <n v="3"/>
    <s v="March"/>
  </r>
  <r>
    <s v="C0753"/>
    <s v="Pooja Das"/>
    <n v="48"/>
    <x v="0"/>
    <x v="4"/>
    <s v="Karnataka"/>
    <s v="Mahindra"/>
    <x v="1"/>
    <x v="3"/>
    <x v="1"/>
    <s v="Automatic"/>
    <d v="2026-02-01T00:00:00"/>
    <d v="2026-03-09T00:00:00"/>
    <n v="1671611"/>
    <n v="27827"/>
    <n v="1643784"/>
    <x v="0"/>
    <x v="0"/>
    <s v="No"/>
    <s v="Yes"/>
    <n v="3.6"/>
    <x v="0"/>
    <n v="3"/>
    <s v="March"/>
  </r>
  <r>
    <s v="C0754"/>
    <s v="Karthik S"/>
    <n v="42"/>
    <x v="0"/>
    <x v="0"/>
    <s v="Telangana"/>
    <s v="Mahindra"/>
    <x v="0"/>
    <x v="1"/>
    <x v="0"/>
    <s v="Manual"/>
    <d v="2026-05-10T00:00:00"/>
    <d v="2026-05-26T00:00:00"/>
    <n v="1712037"/>
    <n v="82716"/>
    <n v="1629321"/>
    <x v="2"/>
    <x v="0"/>
    <s v="Yes"/>
    <s v="Yes"/>
    <n v="4.5"/>
    <x v="1"/>
    <n v="5"/>
    <s v="May"/>
  </r>
  <r>
    <s v="C0755"/>
    <s v="Priya Nair"/>
    <n v="32"/>
    <x v="0"/>
    <x v="0"/>
    <s v="Telangana"/>
    <s v="Mahindra"/>
    <x v="0"/>
    <x v="1"/>
    <x v="0"/>
    <s v="Manual"/>
    <d v="2025-03-28T00:00:00"/>
    <d v="2025-04-14T00:00:00"/>
    <n v="1555241"/>
    <n v="36925"/>
    <n v="1518316"/>
    <x v="4"/>
    <x v="1"/>
    <s v="No"/>
    <s v="No"/>
    <n v="4"/>
    <x v="1"/>
    <n v="4"/>
    <s v="April"/>
  </r>
  <r>
    <s v="C0756"/>
    <s v="Rahul Sharma"/>
    <n v="34"/>
    <x v="0"/>
    <x v="4"/>
    <s v="Karnataka"/>
    <s v="Mahindra"/>
    <x v="0"/>
    <x v="3"/>
    <x v="1"/>
    <s v="Manual"/>
    <d v="2026-01-26T00:00:00"/>
    <d v="2026-03-05T00:00:00"/>
    <n v="1380655"/>
    <n v="19050"/>
    <n v="1361605"/>
    <x v="4"/>
    <x v="3"/>
    <s v="Yes"/>
    <s v="No"/>
    <n v="5"/>
    <x v="0"/>
    <n v="3"/>
    <s v="March"/>
  </r>
  <r>
    <s v="C0757"/>
    <s v="Rahul Sharma"/>
    <n v="48"/>
    <x v="1"/>
    <x v="0"/>
    <s v="Telangana"/>
    <s v="Mahindra"/>
    <x v="0"/>
    <x v="3"/>
    <x v="0"/>
    <s v="Manual"/>
    <d v="2025-12-26T00:00:00"/>
    <d v="2026-02-03T00:00:00"/>
    <n v="1414597"/>
    <n v="35746"/>
    <n v="1378851"/>
    <x v="1"/>
    <x v="3"/>
    <s v="No"/>
    <s v="Yes"/>
    <n v="3.9"/>
    <x v="0"/>
    <n v="2"/>
    <s v="February"/>
  </r>
  <r>
    <s v="C0758"/>
    <s v="Anjali Verma"/>
    <n v="25"/>
    <x v="0"/>
    <x v="2"/>
    <s v="Tamil Nadu"/>
    <s v="Mahindra"/>
    <x v="0"/>
    <x v="3"/>
    <x v="0"/>
    <s v="Manual"/>
    <d v="2025-02-10T00:00:00"/>
    <d v="2025-02-18T00:00:00"/>
    <n v="1434790"/>
    <n v="29957"/>
    <n v="1404833"/>
    <x v="2"/>
    <x v="3"/>
    <s v="Yes"/>
    <s v="No"/>
    <n v="3.6"/>
    <x v="2"/>
    <n v="2"/>
    <s v="February"/>
  </r>
  <r>
    <s v="C0759"/>
    <s v="Priya Nair"/>
    <n v="27"/>
    <x v="1"/>
    <x v="3"/>
    <s v="Maharashtra"/>
    <s v="Mahindra"/>
    <x v="0"/>
    <x v="2"/>
    <x v="0"/>
    <s v="Automatic"/>
    <d v="2026-03-26T00:00:00"/>
    <d v="2026-05-10T00:00:00"/>
    <n v="1542370"/>
    <n v="62832"/>
    <n v="1479538"/>
    <x v="4"/>
    <x v="3"/>
    <s v="Yes"/>
    <s v="Yes"/>
    <n v="4.5999999999999996"/>
    <x v="0"/>
    <n v="5"/>
    <s v="May"/>
  </r>
  <r>
    <s v="C0760"/>
    <s v="Rahul Sharma"/>
    <n v="48"/>
    <x v="0"/>
    <x v="4"/>
    <s v="Karnataka"/>
    <s v="Mahindra"/>
    <x v="1"/>
    <x v="3"/>
    <x v="1"/>
    <s v="Manual"/>
    <d v="2026-02-20T00:00:00"/>
    <d v="2026-03-05T00:00:00"/>
    <n v="1883278"/>
    <n v="54215"/>
    <n v="1829063"/>
    <x v="3"/>
    <x v="0"/>
    <s v="Yes"/>
    <s v="No"/>
    <n v="4"/>
    <x v="1"/>
    <n v="3"/>
    <s v="March"/>
  </r>
  <r>
    <s v="C0761"/>
    <s v="Meera Iyer"/>
    <n v="35"/>
    <x v="0"/>
    <x v="0"/>
    <s v="Telangana"/>
    <s v="Mahindra"/>
    <x v="2"/>
    <x v="2"/>
    <x v="1"/>
    <s v="Automatic"/>
    <d v="2026-05-03T00:00:00"/>
    <d v="2026-05-17T00:00:00"/>
    <n v="1520070"/>
    <n v="56265"/>
    <n v="1463805"/>
    <x v="4"/>
    <x v="4"/>
    <s v="Yes"/>
    <s v="Yes"/>
    <n v="3.9"/>
    <x v="1"/>
    <n v="5"/>
    <s v="May"/>
  </r>
  <r>
    <s v="C0762"/>
    <s v="Sneha Patel"/>
    <n v="25"/>
    <x v="1"/>
    <x v="0"/>
    <s v="Telangana"/>
    <s v="Mahindra"/>
    <x v="2"/>
    <x v="0"/>
    <x v="0"/>
    <s v="Manual"/>
    <d v="2025-06-29T00:00:00"/>
    <d v="2025-08-02T00:00:00"/>
    <n v="1359571"/>
    <n v="53825"/>
    <n v="1305746"/>
    <x v="3"/>
    <x v="3"/>
    <s v="Yes"/>
    <s v="Yes"/>
    <n v="4.7"/>
    <x v="0"/>
    <n v="8"/>
    <s v="August"/>
  </r>
  <r>
    <s v="C0763"/>
    <s v="Sneha Patel"/>
    <n v="35"/>
    <x v="0"/>
    <x v="0"/>
    <s v="Telangana"/>
    <s v="Mahindra"/>
    <x v="0"/>
    <x v="2"/>
    <x v="1"/>
    <s v="Automatic"/>
    <d v="2026-02-18T00:00:00"/>
    <d v="2026-03-16T00:00:00"/>
    <n v="1825814"/>
    <n v="70297"/>
    <n v="1755517"/>
    <x v="3"/>
    <x v="4"/>
    <s v="No"/>
    <s v="No"/>
    <n v="4.4000000000000004"/>
    <x v="0"/>
    <n v="3"/>
    <s v="March"/>
  </r>
  <r>
    <s v="C0764"/>
    <s v="Meera Iyer"/>
    <n v="34"/>
    <x v="1"/>
    <x v="3"/>
    <s v="Maharashtra"/>
    <s v="Mahindra"/>
    <x v="1"/>
    <x v="0"/>
    <x v="0"/>
    <s v="Manual"/>
    <d v="2025-01-17T00:00:00"/>
    <d v="2025-03-03T00:00:00"/>
    <n v="1703966"/>
    <n v="46624"/>
    <n v="1657342"/>
    <x v="2"/>
    <x v="1"/>
    <s v="No"/>
    <s v="Yes"/>
    <n v="4"/>
    <x v="0"/>
    <n v="3"/>
    <s v="March"/>
  </r>
  <r>
    <s v="C0765"/>
    <s v="Anjali Verma"/>
    <n v="54"/>
    <x v="1"/>
    <x v="1"/>
    <s v="Tamil Nadu"/>
    <s v="Mahindra"/>
    <x v="1"/>
    <x v="3"/>
    <x v="0"/>
    <s v="Automatic"/>
    <d v="2026-04-17T00:00:00"/>
    <d v="2026-05-28T00:00:00"/>
    <n v="1674785"/>
    <n v="50320"/>
    <n v="1624465"/>
    <x v="1"/>
    <x v="0"/>
    <s v="Yes"/>
    <s v="Yes"/>
    <n v="3.7"/>
    <x v="0"/>
    <n v="5"/>
    <s v="May"/>
  </r>
  <r>
    <s v="C0766"/>
    <s v="Meera Iyer"/>
    <n v="43"/>
    <x v="1"/>
    <x v="0"/>
    <s v="Telangana"/>
    <s v="Mahindra"/>
    <x v="2"/>
    <x v="1"/>
    <x v="0"/>
    <s v="Manual"/>
    <d v="2025-09-13T00:00:00"/>
    <d v="2025-09-23T00:00:00"/>
    <n v="1685454"/>
    <n v="10241"/>
    <n v="1675213"/>
    <x v="1"/>
    <x v="2"/>
    <s v="Yes"/>
    <s v="No"/>
    <n v="4.8"/>
    <x v="2"/>
    <n v="9"/>
    <s v="September"/>
  </r>
  <r>
    <s v="C0767"/>
    <s v="Meera Iyer"/>
    <n v="41"/>
    <x v="0"/>
    <x v="2"/>
    <s v="Tamil Nadu"/>
    <s v="Mahindra"/>
    <x v="1"/>
    <x v="2"/>
    <x v="1"/>
    <s v="Automatic"/>
    <d v="2026-04-22T00:00:00"/>
    <d v="2026-06-01T00:00:00"/>
    <n v="1306683"/>
    <n v="16422"/>
    <n v="1290261"/>
    <x v="1"/>
    <x v="3"/>
    <s v="No"/>
    <s v="Yes"/>
    <n v="3.3"/>
    <x v="0"/>
    <n v="6"/>
    <s v="June"/>
  </r>
  <r>
    <s v="C0768"/>
    <s v="Pooja Das"/>
    <n v="55"/>
    <x v="1"/>
    <x v="3"/>
    <s v="Maharashtra"/>
    <s v="Mahindra"/>
    <x v="1"/>
    <x v="4"/>
    <x v="1"/>
    <s v="Automatic"/>
    <d v="2025-04-24T00:00:00"/>
    <d v="2025-06-02T00:00:00"/>
    <n v="1528741"/>
    <n v="29494"/>
    <n v="1499247"/>
    <x v="2"/>
    <x v="4"/>
    <s v="No"/>
    <s v="No"/>
    <n v="3.5"/>
    <x v="0"/>
    <n v="6"/>
    <s v="June"/>
  </r>
  <r>
    <s v="C0769"/>
    <s v="Rohit Singh"/>
    <n v="59"/>
    <x v="1"/>
    <x v="4"/>
    <s v="Karnataka"/>
    <s v="Mahindra"/>
    <x v="0"/>
    <x v="0"/>
    <x v="1"/>
    <s v="Manual"/>
    <d v="2025-12-26T00:00:00"/>
    <d v="2026-02-05T00:00:00"/>
    <n v="1613718"/>
    <n v="11247"/>
    <n v="1602471"/>
    <x v="1"/>
    <x v="0"/>
    <s v="Yes"/>
    <s v="Yes"/>
    <n v="4.7"/>
    <x v="0"/>
    <n v="2"/>
    <s v="February"/>
  </r>
  <r>
    <s v="C0770"/>
    <s v="Anjali Verma"/>
    <n v="28"/>
    <x v="0"/>
    <x v="3"/>
    <s v="Maharashtra"/>
    <s v="Mahindra"/>
    <x v="0"/>
    <x v="0"/>
    <x v="0"/>
    <s v="Manual"/>
    <d v="2025-05-06T00:00:00"/>
    <d v="2025-05-29T00:00:00"/>
    <n v="1663543"/>
    <n v="20026"/>
    <n v="1643517"/>
    <x v="0"/>
    <x v="2"/>
    <s v="Yes"/>
    <s v="No"/>
    <n v="3.5"/>
    <x v="0"/>
    <n v="5"/>
    <s v="May"/>
  </r>
  <r>
    <s v="C0771"/>
    <s v="Anjali Verma"/>
    <n v="45"/>
    <x v="1"/>
    <x v="5"/>
    <s v="Tamil Nadu"/>
    <s v="Mahindra"/>
    <x v="2"/>
    <x v="0"/>
    <x v="0"/>
    <s v="Manual"/>
    <d v="2025-01-02T00:00:00"/>
    <d v="2025-01-28T00:00:00"/>
    <n v="1531708"/>
    <n v="70052"/>
    <n v="1461656"/>
    <x v="0"/>
    <x v="3"/>
    <s v="Yes"/>
    <s v="Yes"/>
    <n v="4.4000000000000004"/>
    <x v="0"/>
    <n v="1"/>
    <s v="January"/>
  </r>
  <r>
    <s v="C0772"/>
    <s v="Priya Nair"/>
    <n v="35"/>
    <x v="0"/>
    <x v="1"/>
    <s v="Tamil Nadu"/>
    <s v="Mahindra"/>
    <x v="0"/>
    <x v="0"/>
    <x v="0"/>
    <s v="Automatic"/>
    <d v="2025-09-17T00:00:00"/>
    <d v="2025-10-17T00:00:00"/>
    <n v="1855552"/>
    <n v="44101"/>
    <n v="1811451"/>
    <x v="1"/>
    <x v="4"/>
    <s v="No"/>
    <s v="No"/>
    <n v="4.3"/>
    <x v="0"/>
    <n v="10"/>
    <s v="October"/>
  </r>
  <r>
    <s v="C0773"/>
    <s v="Rohit Singh"/>
    <n v="44"/>
    <x v="1"/>
    <x v="2"/>
    <s v="Tamil Nadu"/>
    <s v="Mahindra"/>
    <x v="2"/>
    <x v="1"/>
    <x v="1"/>
    <s v="Manual"/>
    <d v="2026-04-22T00:00:00"/>
    <d v="2026-05-10T00:00:00"/>
    <n v="1339982"/>
    <n v="43550"/>
    <n v="1296432"/>
    <x v="1"/>
    <x v="2"/>
    <s v="Yes"/>
    <s v="Yes"/>
    <n v="4.5999999999999996"/>
    <x v="1"/>
    <n v="5"/>
    <s v="May"/>
  </r>
  <r>
    <s v="C0774"/>
    <s v="Pooja Das"/>
    <n v="41"/>
    <x v="0"/>
    <x v="2"/>
    <s v="Tamil Nadu"/>
    <s v="Mahindra"/>
    <x v="0"/>
    <x v="3"/>
    <x v="1"/>
    <s v="Automatic"/>
    <d v="2025-08-16T00:00:00"/>
    <d v="2025-09-05T00:00:00"/>
    <n v="1756360"/>
    <n v="91689"/>
    <n v="1664671"/>
    <x v="4"/>
    <x v="1"/>
    <s v="Yes"/>
    <s v="Yes"/>
    <n v="3.5"/>
    <x v="1"/>
    <n v="9"/>
    <s v="September"/>
  </r>
  <r>
    <s v="C0775"/>
    <s v="Meera Iyer"/>
    <n v="55"/>
    <x v="0"/>
    <x v="5"/>
    <s v="Tamil Nadu"/>
    <s v="Mahindra"/>
    <x v="0"/>
    <x v="2"/>
    <x v="0"/>
    <s v="Automatic"/>
    <d v="2025-05-06T00:00:00"/>
    <d v="2025-06-14T00:00:00"/>
    <n v="1618048"/>
    <n v="51099"/>
    <n v="1566949"/>
    <x v="1"/>
    <x v="3"/>
    <s v="No"/>
    <s v="Yes"/>
    <n v="3.3"/>
    <x v="0"/>
    <n v="6"/>
    <s v="June"/>
  </r>
  <r>
    <s v="C0776"/>
    <s v="Anjali Verma"/>
    <n v="29"/>
    <x v="1"/>
    <x v="5"/>
    <s v="Tamil Nadu"/>
    <s v="Mahindra"/>
    <x v="1"/>
    <x v="4"/>
    <x v="0"/>
    <s v="Manual"/>
    <d v="2025-10-06T00:00:00"/>
    <d v="2025-10-26T00:00:00"/>
    <n v="1661764"/>
    <n v="39882"/>
    <n v="1621882"/>
    <x v="1"/>
    <x v="0"/>
    <s v="No"/>
    <s v="No"/>
    <n v="3.3"/>
    <x v="1"/>
    <n v="10"/>
    <s v="October"/>
  </r>
  <r>
    <s v="C0777"/>
    <s v="Sneha Patel"/>
    <n v="37"/>
    <x v="0"/>
    <x v="3"/>
    <s v="Maharashtra"/>
    <s v="Mahindra"/>
    <x v="2"/>
    <x v="0"/>
    <x v="0"/>
    <s v="Manual"/>
    <d v="2026-05-26T00:00:00"/>
    <d v="2026-06-22T00:00:00"/>
    <n v="1625043"/>
    <n v="66745"/>
    <n v="1558298"/>
    <x v="3"/>
    <x v="2"/>
    <s v="No"/>
    <s v="Yes"/>
    <n v="3.4"/>
    <x v="0"/>
    <n v="6"/>
    <s v="June"/>
  </r>
  <r>
    <s v="C0778"/>
    <s v="Anjali Verma"/>
    <n v="27"/>
    <x v="1"/>
    <x v="3"/>
    <s v="Maharashtra"/>
    <s v="Mahindra"/>
    <x v="1"/>
    <x v="2"/>
    <x v="1"/>
    <s v="Automatic"/>
    <d v="2026-03-18T00:00:00"/>
    <d v="2026-04-06T00:00:00"/>
    <n v="1765235"/>
    <n v="40467"/>
    <n v="1724768"/>
    <x v="0"/>
    <x v="0"/>
    <s v="Yes"/>
    <s v="No"/>
    <n v="3.8"/>
    <x v="1"/>
    <n v="4"/>
    <s v="April"/>
  </r>
  <r>
    <s v="C0779"/>
    <s v="Karthik S"/>
    <n v="30"/>
    <x v="0"/>
    <x v="5"/>
    <s v="Tamil Nadu"/>
    <s v="Mahindra"/>
    <x v="0"/>
    <x v="0"/>
    <x v="1"/>
    <s v="Manual"/>
    <d v="2026-02-20T00:00:00"/>
    <d v="2026-04-06T00:00:00"/>
    <n v="1714488"/>
    <n v="69633"/>
    <n v="1644855"/>
    <x v="2"/>
    <x v="1"/>
    <s v="No"/>
    <s v="Yes"/>
    <n v="3.4"/>
    <x v="0"/>
    <n v="4"/>
    <s v="April"/>
  </r>
  <r>
    <s v="C0780"/>
    <s v="Arjun Kumar"/>
    <n v="46"/>
    <x v="0"/>
    <x v="3"/>
    <s v="Maharashtra"/>
    <s v="Mahindra"/>
    <x v="1"/>
    <x v="4"/>
    <x v="0"/>
    <s v="Automatic"/>
    <d v="2025-04-09T00:00:00"/>
    <d v="2025-04-22T00:00:00"/>
    <n v="1818894"/>
    <n v="73162"/>
    <n v="1745732"/>
    <x v="0"/>
    <x v="3"/>
    <s v="No"/>
    <s v="No"/>
    <n v="4.3"/>
    <x v="1"/>
    <n v="4"/>
    <s v="April"/>
  </r>
  <r>
    <s v="C0781"/>
    <s v="Priya Nair"/>
    <n v="33"/>
    <x v="0"/>
    <x v="4"/>
    <s v="Karnataka"/>
    <s v="Mahindra"/>
    <x v="1"/>
    <x v="1"/>
    <x v="1"/>
    <s v="Automatic"/>
    <d v="2025-12-01T00:00:00"/>
    <d v="2025-12-24T00:00:00"/>
    <n v="1847705"/>
    <n v="10684"/>
    <n v="1837021"/>
    <x v="0"/>
    <x v="1"/>
    <s v="Yes"/>
    <s v="No"/>
    <n v="5"/>
    <x v="0"/>
    <n v="12"/>
    <s v="December"/>
  </r>
  <r>
    <s v="C0782"/>
    <s v="Anjali Verma"/>
    <n v="23"/>
    <x v="0"/>
    <x v="1"/>
    <s v="Tamil Nadu"/>
    <s v="Mahindra"/>
    <x v="0"/>
    <x v="4"/>
    <x v="0"/>
    <s v="Automatic"/>
    <d v="2026-04-12T00:00:00"/>
    <d v="2026-04-28T00:00:00"/>
    <n v="1413448"/>
    <n v="14038"/>
    <n v="1399410"/>
    <x v="1"/>
    <x v="0"/>
    <s v="Yes"/>
    <s v="No"/>
    <n v="4.7"/>
    <x v="1"/>
    <n v="4"/>
    <s v="April"/>
  </r>
  <r>
    <s v="C0783"/>
    <s v="Meera Iyer"/>
    <n v="32"/>
    <x v="1"/>
    <x v="0"/>
    <s v="Telangana"/>
    <s v="Mahindra"/>
    <x v="1"/>
    <x v="2"/>
    <x v="0"/>
    <s v="Automatic"/>
    <d v="2026-02-23T00:00:00"/>
    <d v="2026-03-12T00:00:00"/>
    <n v="1489783"/>
    <n v="52531"/>
    <n v="1437252"/>
    <x v="1"/>
    <x v="2"/>
    <s v="Yes"/>
    <s v="No"/>
    <n v="4.5"/>
    <x v="1"/>
    <n v="3"/>
    <s v="March"/>
  </r>
  <r>
    <s v="C0784"/>
    <s v="Vikram Rao"/>
    <n v="58"/>
    <x v="1"/>
    <x v="5"/>
    <s v="Tamil Nadu"/>
    <s v="Mahindra"/>
    <x v="1"/>
    <x v="1"/>
    <x v="1"/>
    <s v="Manual"/>
    <d v="2025-02-26T00:00:00"/>
    <d v="2025-03-26T00:00:00"/>
    <n v="1713368"/>
    <n v="13511"/>
    <n v="1699857"/>
    <x v="4"/>
    <x v="4"/>
    <s v="Yes"/>
    <s v="No"/>
    <n v="4.8"/>
    <x v="0"/>
    <n v="3"/>
    <s v="March"/>
  </r>
  <r>
    <s v="C0785"/>
    <s v="Anjali Verma"/>
    <n v="48"/>
    <x v="0"/>
    <x v="1"/>
    <s v="Tamil Nadu"/>
    <s v="Mahindra"/>
    <x v="1"/>
    <x v="4"/>
    <x v="0"/>
    <s v="Automatic"/>
    <d v="2025-01-29T00:00:00"/>
    <d v="2025-02-18T00:00:00"/>
    <n v="1440586"/>
    <n v="56896"/>
    <n v="1383690"/>
    <x v="2"/>
    <x v="2"/>
    <s v="No"/>
    <s v="Yes"/>
    <n v="3.3"/>
    <x v="1"/>
    <n v="2"/>
    <s v="February"/>
  </r>
  <r>
    <s v="C0786"/>
    <s v="Priya Nair"/>
    <n v="49"/>
    <x v="1"/>
    <x v="5"/>
    <s v="Tamil Nadu"/>
    <s v="Mahindra"/>
    <x v="0"/>
    <x v="1"/>
    <x v="1"/>
    <s v="Automatic"/>
    <d v="2025-03-07T00:00:00"/>
    <d v="2025-04-13T00:00:00"/>
    <n v="1877310"/>
    <n v="24846"/>
    <n v="1852464"/>
    <x v="3"/>
    <x v="1"/>
    <s v="No"/>
    <s v="Yes"/>
    <n v="4.7"/>
    <x v="0"/>
    <n v="4"/>
    <s v="April"/>
  </r>
  <r>
    <s v="C0787"/>
    <s v="Vikram Rao"/>
    <n v="44"/>
    <x v="0"/>
    <x v="1"/>
    <s v="Tamil Nadu"/>
    <s v="Mahindra"/>
    <x v="1"/>
    <x v="2"/>
    <x v="0"/>
    <s v="Manual"/>
    <d v="2026-06-06T00:00:00"/>
    <d v="2026-07-01T00:00:00"/>
    <n v="1398229"/>
    <n v="36181"/>
    <n v="1362048"/>
    <x v="4"/>
    <x v="1"/>
    <s v="No"/>
    <s v="Yes"/>
    <n v="4.7"/>
    <x v="0"/>
    <n v="7"/>
    <s v="July"/>
  </r>
  <r>
    <s v="C0788"/>
    <s v="Rahul Sharma"/>
    <n v="40"/>
    <x v="1"/>
    <x v="0"/>
    <s v="Telangana"/>
    <s v="Mahindra"/>
    <x v="0"/>
    <x v="1"/>
    <x v="1"/>
    <s v="Manual"/>
    <d v="2025-02-01T00:00:00"/>
    <d v="2025-03-18T00:00:00"/>
    <n v="1690898"/>
    <n v="70822"/>
    <n v="1620076"/>
    <x v="4"/>
    <x v="3"/>
    <s v="No"/>
    <s v="No"/>
    <n v="4.9000000000000004"/>
    <x v="0"/>
    <n v="3"/>
    <s v="March"/>
  </r>
  <r>
    <s v="C0789"/>
    <s v="Karthik S"/>
    <n v="56"/>
    <x v="1"/>
    <x v="3"/>
    <s v="Maharashtra"/>
    <s v="Mahindra"/>
    <x v="0"/>
    <x v="0"/>
    <x v="1"/>
    <s v="Manual"/>
    <d v="2026-06-06T00:00:00"/>
    <d v="2026-06-29T00:00:00"/>
    <n v="1865020"/>
    <n v="11870"/>
    <n v="1853150"/>
    <x v="0"/>
    <x v="3"/>
    <s v="No"/>
    <s v="No"/>
    <n v="3.4"/>
    <x v="0"/>
    <n v="6"/>
    <s v="June"/>
  </r>
  <r>
    <s v="C0790"/>
    <s v="Vikram Rao"/>
    <n v="24"/>
    <x v="1"/>
    <x v="3"/>
    <s v="Maharashtra"/>
    <s v="Mahindra"/>
    <x v="1"/>
    <x v="3"/>
    <x v="1"/>
    <s v="Automatic"/>
    <d v="2025-03-30T00:00:00"/>
    <d v="2025-04-06T00:00:00"/>
    <n v="1839446"/>
    <n v="83817"/>
    <n v="1755629"/>
    <x v="2"/>
    <x v="2"/>
    <s v="No"/>
    <s v="Yes"/>
    <n v="4.8"/>
    <x v="2"/>
    <n v="4"/>
    <s v="April"/>
  </r>
  <r>
    <s v="C0791"/>
    <s v="Arjun Kumar"/>
    <n v="41"/>
    <x v="1"/>
    <x v="1"/>
    <s v="Tamil Nadu"/>
    <s v="Mahindra"/>
    <x v="1"/>
    <x v="1"/>
    <x v="0"/>
    <s v="Manual"/>
    <d v="2025-07-24T00:00:00"/>
    <d v="2025-09-03T00:00:00"/>
    <n v="1334533"/>
    <n v="25842"/>
    <n v="1308691"/>
    <x v="0"/>
    <x v="4"/>
    <s v="Yes"/>
    <s v="No"/>
    <n v="4"/>
    <x v="0"/>
    <n v="9"/>
    <s v="September"/>
  </r>
  <r>
    <s v="C0792"/>
    <s v="Vikram Rao"/>
    <n v="41"/>
    <x v="0"/>
    <x v="4"/>
    <s v="Karnataka"/>
    <s v="Mahindra"/>
    <x v="0"/>
    <x v="2"/>
    <x v="1"/>
    <s v="Automatic"/>
    <d v="2025-08-14T00:00:00"/>
    <d v="2025-08-28T00:00:00"/>
    <n v="1487337"/>
    <n v="32861"/>
    <n v="1454476"/>
    <x v="3"/>
    <x v="3"/>
    <s v="Yes"/>
    <s v="Yes"/>
    <n v="4.2"/>
    <x v="1"/>
    <n v="8"/>
    <s v="August"/>
  </r>
  <r>
    <s v="C0793"/>
    <s v="Sneha Patel"/>
    <n v="55"/>
    <x v="1"/>
    <x v="1"/>
    <s v="Tamil Nadu"/>
    <s v="Mahindra"/>
    <x v="1"/>
    <x v="2"/>
    <x v="0"/>
    <s v="Manual"/>
    <d v="2026-06-07T00:00:00"/>
    <d v="2026-07-04T00:00:00"/>
    <n v="1303806"/>
    <n v="54742"/>
    <n v="1249064"/>
    <x v="3"/>
    <x v="0"/>
    <s v="No"/>
    <s v="Yes"/>
    <n v="3.8"/>
    <x v="0"/>
    <n v="7"/>
    <s v="July"/>
  </r>
  <r>
    <s v="C0794"/>
    <s v="Priya Nair"/>
    <n v="52"/>
    <x v="1"/>
    <x v="2"/>
    <s v="Tamil Nadu"/>
    <s v="Mahindra"/>
    <x v="0"/>
    <x v="2"/>
    <x v="1"/>
    <s v="Automatic"/>
    <d v="2025-03-18T00:00:00"/>
    <d v="2025-05-02T00:00:00"/>
    <n v="1831454"/>
    <n v="82039"/>
    <n v="1749415"/>
    <x v="3"/>
    <x v="2"/>
    <s v="Yes"/>
    <s v="No"/>
    <n v="3.8"/>
    <x v="0"/>
    <n v="5"/>
    <s v="May"/>
  </r>
  <r>
    <s v="C0795"/>
    <s v="Sneha Patel"/>
    <n v="29"/>
    <x v="1"/>
    <x v="1"/>
    <s v="Tamil Nadu"/>
    <s v="Mahindra"/>
    <x v="1"/>
    <x v="0"/>
    <x v="0"/>
    <s v="Manual"/>
    <d v="2025-09-27T00:00:00"/>
    <d v="2025-10-22T00:00:00"/>
    <n v="1457265"/>
    <n v="59437"/>
    <n v="1397828"/>
    <x v="2"/>
    <x v="0"/>
    <s v="Yes"/>
    <s v="No"/>
    <n v="4.4000000000000004"/>
    <x v="0"/>
    <n v="10"/>
    <s v="October"/>
  </r>
  <r>
    <s v="C0796"/>
    <s v="Anjali Verma"/>
    <n v="55"/>
    <x v="1"/>
    <x v="5"/>
    <s v="Tamil Nadu"/>
    <s v="Mahindra"/>
    <x v="1"/>
    <x v="4"/>
    <x v="0"/>
    <s v="Automatic"/>
    <d v="2025-05-11T00:00:00"/>
    <d v="2025-06-04T00:00:00"/>
    <n v="1316338"/>
    <n v="53256"/>
    <n v="1263082"/>
    <x v="3"/>
    <x v="3"/>
    <s v="No"/>
    <s v="Yes"/>
    <n v="4.4000000000000004"/>
    <x v="0"/>
    <n v="6"/>
    <s v="June"/>
  </r>
  <r>
    <s v="C0797"/>
    <s v="Karthik S"/>
    <n v="44"/>
    <x v="0"/>
    <x v="2"/>
    <s v="Tamil Nadu"/>
    <s v="Mahindra"/>
    <x v="0"/>
    <x v="2"/>
    <x v="0"/>
    <s v="Automatic"/>
    <d v="2025-12-09T00:00:00"/>
    <d v="2026-01-13T00:00:00"/>
    <n v="1627477"/>
    <n v="66498"/>
    <n v="1560979"/>
    <x v="2"/>
    <x v="0"/>
    <s v="No"/>
    <s v="Yes"/>
    <n v="4"/>
    <x v="0"/>
    <n v="1"/>
    <s v="January"/>
  </r>
  <r>
    <s v="C0798"/>
    <s v="Anjali Verma"/>
    <n v="22"/>
    <x v="1"/>
    <x v="1"/>
    <s v="Tamil Nadu"/>
    <s v="Mahindra"/>
    <x v="2"/>
    <x v="4"/>
    <x v="1"/>
    <s v="Automatic"/>
    <d v="2026-01-17T00:00:00"/>
    <d v="2026-02-01T00:00:00"/>
    <n v="1405249"/>
    <n v="53024"/>
    <n v="1352225"/>
    <x v="1"/>
    <x v="0"/>
    <s v="No"/>
    <s v="No"/>
    <n v="4.7"/>
    <x v="1"/>
    <n v="2"/>
    <s v="February"/>
  </r>
  <r>
    <s v="C0799"/>
    <s v="Rahul Sharma"/>
    <n v="28"/>
    <x v="0"/>
    <x v="2"/>
    <s v="Tamil Nadu"/>
    <s v="Mahindra"/>
    <x v="2"/>
    <x v="1"/>
    <x v="1"/>
    <s v="Automatic"/>
    <d v="2025-09-15T00:00:00"/>
    <d v="2025-10-01T00:00:00"/>
    <n v="1718541"/>
    <n v="17359"/>
    <n v="1701182"/>
    <x v="3"/>
    <x v="3"/>
    <s v="Yes"/>
    <s v="No"/>
    <n v="4.7"/>
    <x v="1"/>
    <n v="10"/>
    <s v="October"/>
  </r>
  <r>
    <s v="C0800"/>
    <s v="Rahul Sharma"/>
    <n v="60"/>
    <x v="1"/>
    <x v="2"/>
    <s v="Tamil Nadu"/>
    <s v="Mahindra"/>
    <x v="1"/>
    <x v="4"/>
    <x v="1"/>
    <s v="Manual"/>
    <d v="2026-06-12T00:00:00"/>
    <d v="2026-07-11T00:00:00"/>
    <n v="1387359"/>
    <n v="40404"/>
    <n v="1346955"/>
    <x v="2"/>
    <x v="0"/>
    <s v="No"/>
    <s v="Yes"/>
    <n v="4.4000000000000004"/>
    <x v="0"/>
    <n v="7"/>
    <s v="July"/>
  </r>
  <r>
    <s v="C0801"/>
    <s v="Rohit Singh"/>
    <n v="29"/>
    <x v="0"/>
    <x v="0"/>
    <s v="Telangana"/>
    <s v="Mahindra"/>
    <x v="0"/>
    <x v="2"/>
    <x v="0"/>
    <s v="Automatic"/>
    <d v="2026-01-07T00:00:00"/>
    <d v="2026-01-24T00:00:00"/>
    <n v="1578984"/>
    <n v="94618"/>
    <n v="1484366"/>
    <x v="0"/>
    <x v="2"/>
    <s v="No"/>
    <s v="Yes"/>
    <n v="3.7"/>
    <x v="1"/>
    <n v="1"/>
    <s v="January"/>
  </r>
  <r>
    <s v="C0802"/>
    <s v="Meera Iyer"/>
    <n v="31"/>
    <x v="0"/>
    <x v="3"/>
    <s v="Maharashtra"/>
    <s v="Mahindra"/>
    <x v="0"/>
    <x v="4"/>
    <x v="0"/>
    <s v="Automatic"/>
    <d v="2025-07-06T00:00:00"/>
    <d v="2025-08-20T00:00:00"/>
    <n v="1780523"/>
    <n v="56120"/>
    <n v="1724403"/>
    <x v="1"/>
    <x v="3"/>
    <s v="Yes"/>
    <s v="Yes"/>
    <n v="4"/>
    <x v="0"/>
    <n v="8"/>
    <s v="August"/>
  </r>
  <r>
    <s v="C0803"/>
    <s v="Priya Nair"/>
    <n v="59"/>
    <x v="1"/>
    <x v="0"/>
    <s v="Telangana"/>
    <s v="Mahindra"/>
    <x v="2"/>
    <x v="2"/>
    <x v="0"/>
    <s v="Automatic"/>
    <d v="2025-02-08T00:00:00"/>
    <d v="2025-02-25T00:00:00"/>
    <n v="1308339"/>
    <n v="17994"/>
    <n v="1290345"/>
    <x v="0"/>
    <x v="0"/>
    <s v="Yes"/>
    <s v="No"/>
    <n v="4.5"/>
    <x v="1"/>
    <n v="2"/>
    <s v="February"/>
  </r>
  <r>
    <s v="C0804"/>
    <s v="Sneha Patel"/>
    <n v="56"/>
    <x v="1"/>
    <x v="2"/>
    <s v="Tamil Nadu"/>
    <s v="Mahindra"/>
    <x v="1"/>
    <x v="1"/>
    <x v="0"/>
    <s v="Automatic"/>
    <d v="2025-07-03T00:00:00"/>
    <d v="2025-07-29T00:00:00"/>
    <n v="1833206"/>
    <n v="68519"/>
    <n v="1764687"/>
    <x v="1"/>
    <x v="3"/>
    <s v="No"/>
    <s v="No"/>
    <n v="4.4000000000000004"/>
    <x v="0"/>
    <n v="7"/>
    <s v="July"/>
  </r>
  <r>
    <s v="C0805"/>
    <s v="Pooja Das"/>
    <n v="55"/>
    <x v="0"/>
    <x v="3"/>
    <s v="Maharashtra"/>
    <s v="Mahindra"/>
    <x v="0"/>
    <x v="0"/>
    <x v="1"/>
    <s v="Automatic"/>
    <d v="2025-09-22T00:00:00"/>
    <d v="2025-11-04T00:00:00"/>
    <n v="1771278"/>
    <n v="42360"/>
    <n v="1728918"/>
    <x v="3"/>
    <x v="3"/>
    <s v="Yes"/>
    <s v="No"/>
    <n v="4.5"/>
    <x v="0"/>
    <n v="11"/>
    <s v="November"/>
  </r>
  <r>
    <s v="C0806"/>
    <s v="Arjun Kumar"/>
    <n v="24"/>
    <x v="0"/>
    <x v="5"/>
    <s v="Tamil Nadu"/>
    <s v="Mahindra"/>
    <x v="2"/>
    <x v="0"/>
    <x v="0"/>
    <s v="Manual"/>
    <d v="2025-05-17T00:00:00"/>
    <d v="2025-07-01T00:00:00"/>
    <n v="1562631"/>
    <n v="70171"/>
    <n v="1492460"/>
    <x v="1"/>
    <x v="0"/>
    <s v="Yes"/>
    <s v="Yes"/>
    <n v="3.4"/>
    <x v="0"/>
    <n v="7"/>
    <s v="July"/>
  </r>
  <r>
    <s v="C0807"/>
    <s v="Priya Nair"/>
    <n v="30"/>
    <x v="1"/>
    <x v="4"/>
    <s v="Karnataka"/>
    <s v="Mahindra"/>
    <x v="2"/>
    <x v="4"/>
    <x v="1"/>
    <s v="Automatic"/>
    <d v="2026-04-29T00:00:00"/>
    <d v="2026-06-05T00:00:00"/>
    <n v="1632854"/>
    <n v="37799"/>
    <n v="1595055"/>
    <x v="2"/>
    <x v="0"/>
    <s v="Yes"/>
    <s v="Yes"/>
    <n v="4.7"/>
    <x v="0"/>
    <n v="6"/>
    <s v="June"/>
  </r>
  <r>
    <s v="C0808"/>
    <s v="Vikram Rao"/>
    <n v="48"/>
    <x v="1"/>
    <x v="0"/>
    <s v="Telangana"/>
    <s v="Mahindra"/>
    <x v="0"/>
    <x v="0"/>
    <x v="1"/>
    <s v="Automatic"/>
    <d v="2026-02-15T00:00:00"/>
    <d v="2026-03-19T00:00:00"/>
    <n v="1854831"/>
    <n v="15813"/>
    <n v="1839018"/>
    <x v="4"/>
    <x v="3"/>
    <s v="Yes"/>
    <s v="Yes"/>
    <n v="3.9"/>
    <x v="0"/>
    <n v="3"/>
    <s v="March"/>
  </r>
  <r>
    <s v="C0809"/>
    <s v="Vikram Rao"/>
    <n v="43"/>
    <x v="0"/>
    <x v="3"/>
    <s v="Maharashtra"/>
    <s v="Mahindra"/>
    <x v="0"/>
    <x v="0"/>
    <x v="0"/>
    <s v="Automatic"/>
    <d v="2026-01-17T00:00:00"/>
    <d v="2026-01-29T00:00:00"/>
    <n v="1312200"/>
    <n v="52583"/>
    <n v="1259617"/>
    <x v="4"/>
    <x v="3"/>
    <s v="Yes"/>
    <s v="Yes"/>
    <n v="3.1"/>
    <x v="1"/>
    <n v="1"/>
    <s v="January"/>
  </r>
  <r>
    <s v="C0810"/>
    <s v="Pooja Das"/>
    <n v="44"/>
    <x v="1"/>
    <x v="5"/>
    <s v="Tamil Nadu"/>
    <s v="Mahindra"/>
    <x v="2"/>
    <x v="2"/>
    <x v="1"/>
    <s v="Automatic"/>
    <d v="2026-05-18T00:00:00"/>
    <d v="2026-06-14T00:00:00"/>
    <n v="1717122"/>
    <n v="20415"/>
    <n v="1696707"/>
    <x v="4"/>
    <x v="4"/>
    <s v="No"/>
    <s v="Yes"/>
    <n v="4.7"/>
    <x v="0"/>
    <n v="6"/>
    <s v="June"/>
  </r>
  <r>
    <s v="C0811"/>
    <s v="Rahul Sharma"/>
    <n v="23"/>
    <x v="1"/>
    <x v="5"/>
    <s v="Tamil Nadu"/>
    <s v="Mahindra"/>
    <x v="2"/>
    <x v="1"/>
    <x v="1"/>
    <s v="Automatic"/>
    <d v="2025-08-01T00:00:00"/>
    <d v="2025-09-14T00:00:00"/>
    <n v="1589057"/>
    <n v="24923"/>
    <n v="1564134"/>
    <x v="1"/>
    <x v="1"/>
    <s v="No"/>
    <s v="Yes"/>
    <n v="3.2"/>
    <x v="0"/>
    <n v="9"/>
    <s v="September"/>
  </r>
  <r>
    <s v="C0812"/>
    <s v="Sneha Patel"/>
    <n v="43"/>
    <x v="0"/>
    <x v="2"/>
    <s v="Tamil Nadu"/>
    <s v="Mahindra"/>
    <x v="2"/>
    <x v="4"/>
    <x v="1"/>
    <s v="Manual"/>
    <d v="2025-11-13T00:00:00"/>
    <d v="2025-12-27T00:00:00"/>
    <n v="1361149"/>
    <n v="14537"/>
    <n v="1346612"/>
    <x v="4"/>
    <x v="4"/>
    <s v="Yes"/>
    <s v="Yes"/>
    <n v="3.4"/>
    <x v="0"/>
    <n v="12"/>
    <s v="December"/>
  </r>
  <r>
    <s v="C0813"/>
    <s v="Anjali Verma"/>
    <n v="56"/>
    <x v="0"/>
    <x v="4"/>
    <s v="Karnataka"/>
    <s v="Mahindra"/>
    <x v="1"/>
    <x v="0"/>
    <x v="1"/>
    <s v="Manual"/>
    <d v="2026-02-22T00:00:00"/>
    <d v="2026-03-17T00:00:00"/>
    <n v="1821843"/>
    <n v="62216"/>
    <n v="1759627"/>
    <x v="3"/>
    <x v="1"/>
    <s v="No"/>
    <s v="No"/>
    <n v="4.7"/>
    <x v="0"/>
    <n v="3"/>
    <s v="March"/>
  </r>
  <r>
    <s v="C0814"/>
    <s v="Rohit Singh"/>
    <n v="39"/>
    <x v="0"/>
    <x v="3"/>
    <s v="Maharashtra"/>
    <s v="Mahindra"/>
    <x v="0"/>
    <x v="1"/>
    <x v="0"/>
    <s v="Automatic"/>
    <d v="2025-02-17T00:00:00"/>
    <d v="2025-03-19T00:00:00"/>
    <n v="1425898"/>
    <n v="21803"/>
    <n v="1404095"/>
    <x v="3"/>
    <x v="3"/>
    <s v="No"/>
    <s v="No"/>
    <n v="4.7"/>
    <x v="0"/>
    <n v="3"/>
    <s v="March"/>
  </r>
  <r>
    <s v="C0815"/>
    <s v="Rahul Sharma"/>
    <n v="47"/>
    <x v="0"/>
    <x v="2"/>
    <s v="Tamil Nadu"/>
    <s v="Mahindra"/>
    <x v="2"/>
    <x v="1"/>
    <x v="1"/>
    <s v="Automatic"/>
    <d v="2025-08-25T00:00:00"/>
    <d v="2025-09-21T00:00:00"/>
    <n v="1774492"/>
    <n v="47125"/>
    <n v="1727367"/>
    <x v="1"/>
    <x v="2"/>
    <s v="No"/>
    <s v="Yes"/>
    <n v="3.4"/>
    <x v="0"/>
    <n v="9"/>
    <s v="September"/>
  </r>
  <r>
    <s v="C0816"/>
    <s v="Priya Nair"/>
    <n v="26"/>
    <x v="0"/>
    <x v="2"/>
    <s v="Tamil Nadu"/>
    <s v="Mahindra"/>
    <x v="1"/>
    <x v="3"/>
    <x v="0"/>
    <s v="Automatic"/>
    <d v="2025-09-05T00:00:00"/>
    <d v="2025-09-28T00:00:00"/>
    <n v="1579624"/>
    <n v="83876"/>
    <n v="1495748"/>
    <x v="2"/>
    <x v="4"/>
    <s v="Yes"/>
    <s v="No"/>
    <n v="3.9"/>
    <x v="0"/>
    <n v="9"/>
    <s v="September"/>
  </r>
  <r>
    <s v="C0817"/>
    <s v="Anjali Verma"/>
    <n v="58"/>
    <x v="0"/>
    <x v="5"/>
    <s v="Tamil Nadu"/>
    <s v="Mahindra"/>
    <x v="2"/>
    <x v="3"/>
    <x v="1"/>
    <s v="Manual"/>
    <d v="2025-04-28T00:00:00"/>
    <d v="2025-05-11T00:00:00"/>
    <n v="1584942"/>
    <n v="49200"/>
    <n v="1535742"/>
    <x v="3"/>
    <x v="0"/>
    <s v="Yes"/>
    <s v="No"/>
    <n v="3.3"/>
    <x v="1"/>
    <n v="5"/>
    <s v="May"/>
  </r>
  <r>
    <s v="C0818"/>
    <s v="Vikram Rao"/>
    <n v="27"/>
    <x v="1"/>
    <x v="5"/>
    <s v="Tamil Nadu"/>
    <s v="Mahindra"/>
    <x v="0"/>
    <x v="1"/>
    <x v="1"/>
    <s v="Manual"/>
    <d v="2026-02-22T00:00:00"/>
    <d v="2026-03-20T00:00:00"/>
    <n v="1643102"/>
    <n v="95644"/>
    <n v="1547458"/>
    <x v="0"/>
    <x v="2"/>
    <s v="No"/>
    <s v="No"/>
    <n v="4.4000000000000004"/>
    <x v="0"/>
    <n v="3"/>
    <s v="March"/>
  </r>
  <r>
    <s v="C0819"/>
    <s v="Priya Nair"/>
    <n v="22"/>
    <x v="0"/>
    <x v="1"/>
    <s v="Tamil Nadu"/>
    <s v="Mahindra"/>
    <x v="0"/>
    <x v="0"/>
    <x v="0"/>
    <s v="Automatic"/>
    <d v="2025-03-22T00:00:00"/>
    <d v="2025-04-08T00:00:00"/>
    <n v="1764184"/>
    <n v="50620"/>
    <n v="1713564"/>
    <x v="1"/>
    <x v="1"/>
    <s v="Yes"/>
    <s v="Yes"/>
    <n v="4.4000000000000004"/>
    <x v="1"/>
    <n v="4"/>
    <s v="April"/>
  </r>
  <r>
    <s v="C0820"/>
    <s v="Pooja Das"/>
    <n v="38"/>
    <x v="0"/>
    <x v="2"/>
    <s v="Tamil Nadu"/>
    <s v="Mahindra"/>
    <x v="1"/>
    <x v="2"/>
    <x v="1"/>
    <s v="Automatic"/>
    <d v="2026-01-11T00:00:00"/>
    <d v="2026-02-19T00:00:00"/>
    <n v="1607871"/>
    <n v="98054"/>
    <n v="1509817"/>
    <x v="1"/>
    <x v="1"/>
    <s v="Yes"/>
    <s v="Yes"/>
    <n v="3.6"/>
    <x v="0"/>
    <n v="2"/>
    <s v="February"/>
  </r>
  <r>
    <s v="C0821"/>
    <s v="Meera Iyer"/>
    <n v="54"/>
    <x v="1"/>
    <x v="1"/>
    <s v="Tamil Nadu"/>
    <s v="Mahindra"/>
    <x v="0"/>
    <x v="3"/>
    <x v="0"/>
    <s v="Automatic"/>
    <d v="2025-09-17T00:00:00"/>
    <d v="2025-09-27T00:00:00"/>
    <n v="1372175"/>
    <n v="83532"/>
    <n v="1288643"/>
    <x v="1"/>
    <x v="0"/>
    <s v="No"/>
    <s v="Yes"/>
    <n v="4.3"/>
    <x v="2"/>
    <n v="9"/>
    <s v="September"/>
  </r>
  <r>
    <s v="C0822"/>
    <s v="Meera Iyer"/>
    <n v="21"/>
    <x v="0"/>
    <x v="5"/>
    <s v="Tamil Nadu"/>
    <s v="Mahindra"/>
    <x v="1"/>
    <x v="1"/>
    <x v="0"/>
    <s v="Automatic"/>
    <d v="2026-06-25T00:00:00"/>
    <d v="2026-08-04T00:00:00"/>
    <n v="1730370"/>
    <n v="61822"/>
    <n v="1668548"/>
    <x v="1"/>
    <x v="3"/>
    <s v="No"/>
    <s v="No"/>
    <n v="4.8"/>
    <x v="0"/>
    <n v="8"/>
    <s v="August"/>
  </r>
  <r>
    <s v="C0823"/>
    <s v="Sneha Patel"/>
    <n v="39"/>
    <x v="0"/>
    <x v="5"/>
    <s v="Tamil Nadu"/>
    <s v="Mahindra"/>
    <x v="0"/>
    <x v="2"/>
    <x v="1"/>
    <s v="Manual"/>
    <d v="2025-10-24T00:00:00"/>
    <d v="2025-12-02T00:00:00"/>
    <n v="1455483"/>
    <n v="81515"/>
    <n v="1373968"/>
    <x v="1"/>
    <x v="2"/>
    <s v="Yes"/>
    <s v="No"/>
    <n v="4.2"/>
    <x v="0"/>
    <n v="12"/>
    <s v="December"/>
  </r>
  <r>
    <s v="C0824"/>
    <s v="Karthik S"/>
    <n v="57"/>
    <x v="0"/>
    <x v="1"/>
    <s v="Tamil Nadu"/>
    <s v="Mahindra"/>
    <x v="0"/>
    <x v="0"/>
    <x v="0"/>
    <s v="Manual"/>
    <d v="2025-09-15T00:00:00"/>
    <d v="2025-10-15T00:00:00"/>
    <n v="1670487"/>
    <n v="98255"/>
    <n v="1572232"/>
    <x v="3"/>
    <x v="2"/>
    <s v="Yes"/>
    <s v="No"/>
    <n v="4.4000000000000004"/>
    <x v="0"/>
    <n v="10"/>
    <s v="October"/>
  </r>
  <r>
    <s v="C0825"/>
    <s v="Rohit Singh"/>
    <n v="52"/>
    <x v="0"/>
    <x v="4"/>
    <s v="Karnataka"/>
    <s v="Mahindra"/>
    <x v="2"/>
    <x v="0"/>
    <x v="0"/>
    <s v="Automatic"/>
    <d v="2025-03-24T00:00:00"/>
    <d v="2025-05-06T00:00:00"/>
    <n v="1511359"/>
    <n v="73533"/>
    <n v="1437826"/>
    <x v="1"/>
    <x v="2"/>
    <s v="No"/>
    <s v="Yes"/>
    <n v="3.2"/>
    <x v="0"/>
    <n v="5"/>
    <s v="May"/>
  </r>
  <r>
    <s v="C0826"/>
    <s v="Sneha Patel"/>
    <n v="30"/>
    <x v="1"/>
    <x v="4"/>
    <s v="Karnataka"/>
    <s v="Mahindra"/>
    <x v="1"/>
    <x v="4"/>
    <x v="0"/>
    <s v="Automatic"/>
    <d v="2025-01-17T00:00:00"/>
    <d v="2025-02-27T00:00:00"/>
    <n v="1874757"/>
    <n v="95718"/>
    <n v="1779039"/>
    <x v="0"/>
    <x v="3"/>
    <s v="Yes"/>
    <s v="No"/>
    <n v="4.4000000000000004"/>
    <x v="0"/>
    <n v="2"/>
    <s v="February"/>
  </r>
  <r>
    <s v="C0827"/>
    <s v="Priya Nair"/>
    <n v="41"/>
    <x v="0"/>
    <x v="3"/>
    <s v="Maharashtra"/>
    <s v="Mahindra"/>
    <x v="2"/>
    <x v="2"/>
    <x v="1"/>
    <s v="Manual"/>
    <d v="2026-04-10T00:00:00"/>
    <d v="2026-04-22T00:00:00"/>
    <n v="1360467"/>
    <n v="36131"/>
    <n v="1324336"/>
    <x v="1"/>
    <x v="4"/>
    <s v="No"/>
    <s v="Yes"/>
    <n v="3.8"/>
    <x v="1"/>
    <n v="4"/>
    <s v="April"/>
  </r>
  <r>
    <s v="C0828"/>
    <s v="Priya Nair"/>
    <n v="47"/>
    <x v="0"/>
    <x v="5"/>
    <s v="Tamil Nadu"/>
    <s v="Mahindra"/>
    <x v="1"/>
    <x v="4"/>
    <x v="1"/>
    <s v="Automatic"/>
    <d v="2025-03-15T00:00:00"/>
    <d v="2025-04-09T00:00:00"/>
    <n v="1321711"/>
    <n v="13174"/>
    <n v="1308537"/>
    <x v="2"/>
    <x v="0"/>
    <s v="Yes"/>
    <s v="Yes"/>
    <n v="4.0999999999999996"/>
    <x v="0"/>
    <n v="4"/>
    <s v="April"/>
  </r>
  <r>
    <s v="C0829"/>
    <s v="Meera Iyer"/>
    <n v="53"/>
    <x v="0"/>
    <x v="0"/>
    <s v="Telangana"/>
    <s v="Mahindra"/>
    <x v="2"/>
    <x v="4"/>
    <x v="1"/>
    <s v="Manual"/>
    <d v="2026-04-12T00:00:00"/>
    <d v="2026-05-13T00:00:00"/>
    <n v="1791421"/>
    <n v="36830"/>
    <n v="1754591"/>
    <x v="2"/>
    <x v="1"/>
    <s v="Yes"/>
    <s v="No"/>
    <n v="3.2"/>
    <x v="0"/>
    <n v="5"/>
    <s v="May"/>
  </r>
  <r>
    <s v="C0830"/>
    <s v="Pooja Das"/>
    <n v="41"/>
    <x v="0"/>
    <x v="2"/>
    <s v="Tamil Nadu"/>
    <s v="Mahindra"/>
    <x v="1"/>
    <x v="2"/>
    <x v="1"/>
    <s v="Manual"/>
    <d v="2025-03-09T00:00:00"/>
    <d v="2025-03-29T00:00:00"/>
    <n v="1533687"/>
    <n v="97216"/>
    <n v="1436471"/>
    <x v="4"/>
    <x v="2"/>
    <s v="No"/>
    <s v="No"/>
    <n v="3.5"/>
    <x v="1"/>
    <n v="3"/>
    <s v="March"/>
  </r>
  <r>
    <s v="C0831"/>
    <s v="Anjali Verma"/>
    <n v="59"/>
    <x v="0"/>
    <x v="5"/>
    <s v="Tamil Nadu"/>
    <s v="Mahindra"/>
    <x v="2"/>
    <x v="0"/>
    <x v="1"/>
    <s v="Automatic"/>
    <d v="2025-04-19T00:00:00"/>
    <d v="2025-05-25T00:00:00"/>
    <n v="1829234"/>
    <n v="58280"/>
    <n v="1770954"/>
    <x v="2"/>
    <x v="2"/>
    <s v="Yes"/>
    <s v="Yes"/>
    <n v="4.7"/>
    <x v="0"/>
    <n v="5"/>
    <s v="May"/>
  </r>
  <r>
    <s v="C0832"/>
    <s v="Vikram Rao"/>
    <n v="24"/>
    <x v="1"/>
    <x v="2"/>
    <s v="Tamil Nadu"/>
    <s v="Mahindra"/>
    <x v="0"/>
    <x v="2"/>
    <x v="1"/>
    <s v="Automatic"/>
    <d v="2025-04-22T00:00:00"/>
    <d v="2025-05-04T00:00:00"/>
    <n v="1568866"/>
    <n v="73085"/>
    <n v="1495781"/>
    <x v="3"/>
    <x v="4"/>
    <s v="Yes"/>
    <s v="Yes"/>
    <n v="3.6"/>
    <x v="1"/>
    <n v="5"/>
    <s v="May"/>
  </r>
  <r>
    <s v="C0833"/>
    <s v="Vikram Rao"/>
    <n v="39"/>
    <x v="0"/>
    <x v="5"/>
    <s v="Tamil Nadu"/>
    <s v="Mahindra"/>
    <x v="2"/>
    <x v="3"/>
    <x v="0"/>
    <s v="Manual"/>
    <d v="2025-05-21T00:00:00"/>
    <d v="2025-05-29T00:00:00"/>
    <n v="1446285"/>
    <n v="36057"/>
    <n v="1410228"/>
    <x v="3"/>
    <x v="3"/>
    <s v="Yes"/>
    <s v="Yes"/>
    <n v="3.5"/>
    <x v="2"/>
    <n v="5"/>
    <s v="May"/>
  </r>
  <r>
    <s v="C0834"/>
    <s v="Meera Iyer"/>
    <n v="36"/>
    <x v="0"/>
    <x v="1"/>
    <s v="Tamil Nadu"/>
    <s v="Mahindra"/>
    <x v="0"/>
    <x v="4"/>
    <x v="1"/>
    <s v="Automatic"/>
    <d v="2026-03-19T00:00:00"/>
    <d v="2026-03-27T00:00:00"/>
    <n v="1546078"/>
    <n v="95280"/>
    <n v="1450798"/>
    <x v="1"/>
    <x v="1"/>
    <s v="Yes"/>
    <s v="Yes"/>
    <n v="3.4"/>
    <x v="2"/>
    <n v="3"/>
    <s v="March"/>
  </r>
  <r>
    <s v="C0835"/>
    <s v="Sneha Patel"/>
    <n v="45"/>
    <x v="0"/>
    <x v="4"/>
    <s v="Karnataka"/>
    <s v="Mahindra"/>
    <x v="1"/>
    <x v="1"/>
    <x v="1"/>
    <s v="Manual"/>
    <d v="2026-05-21T00:00:00"/>
    <d v="2026-06-14T00:00:00"/>
    <n v="1455995"/>
    <n v="29962"/>
    <n v="1426033"/>
    <x v="4"/>
    <x v="3"/>
    <s v="Yes"/>
    <s v="No"/>
    <n v="4.5"/>
    <x v="0"/>
    <n v="6"/>
    <s v="June"/>
  </r>
  <r>
    <s v="C0836"/>
    <s v="Rohit Singh"/>
    <n v="53"/>
    <x v="0"/>
    <x v="4"/>
    <s v="Karnataka"/>
    <s v="Mahindra"/>
    <x v="2"/>
    <x v="4"/>
    <x v="1"/>
    <s v="Automatic"/>
    <d v="2025-05-18T00:00:00"/>
    <d v="2025-06-21T00:00:00"/>
    <n v="1677182"/>
    <n v="40834"/>
    <n v="1636348"/>
    <x v="3"/>
    <x v="2"/>
    <s v="Yes"/>
    <s v="No"/>
    <n v="4.4000000000000004"/>
    <x v="0"/>
    <n v="6"/>
    <s v="June"/>
  </r>
  <r>
    <s v="C0837"/>
    <s v="Anjali Verma"/>
    <n v="33"/>
    <x v="1"/>
    <x v="2"/>
    <s v="Tamil Nadu"/>
    <s v="Mahindra"/>
    <x v="2"/>
    <x v="4"/>
    <x v="1"/>
    <s v="Automatic"/>
    <d v="2025-03-02T00:00:00"/>
    <d v="2025-03-21T00:00:00"/>
    <n v="1860581"/>
    <n v="99894"/>
    <n v="1760687"/>
    <x v="3"/>
    <x v="0"/>
    <s v="No"/>
    <s v="Yes"/>
    <n v="4.8"/>
    <x v="1"/>
    <n v="3"/>
    <s v="March"/>
  </r>
  <r>
    <s v="C0838"/>
    <s v="Vikram Rao"/>
    <n v="42"/>
    <x v="0"/>
    <x v="4"/>
    <s v="Karnataka"/>
    <s v="Mahindra"/>
    <x v="1"/>
    <x v="0"/>
    <x v="0"/>
    <s v="Manual"/>
    <d v="2026-03-23T00:00:00"/>
    <d v="2026-04-05T00:00:00"/>
    <n v="1395124"/>
    <n v="32407"/>
    <n v="1362717"/>
    <x v="0"/>
    <x v="3"/>
    <s v="Yes"/>
    <s v="Yes"/>
    <n v="4.5"/>
    <x v="1"/>
    <n v="4"/>
    <s v="April"/>
  </r>
  <r>
    <s v="C0839"/>
    <s v="Anjali Verma"/>
    <n v="46"/>
    <x v="1"/>
    <x v="0"/>
    <s v="Telangana"/>
    <s v="Mahindra"/>
    <x v="0"/>
    <x v="3"/>
    <x v="0"/>
    <s v="Manual"/>
    <d v="2025-06-21T00:00:00"/>
    <d v="2025-07-15T00:00:00"/>
    <n v="1816122"/>
    <n v="63783"/>
    <n v="1752339"/>
    <x v="1"/>
    <x v="1"/>
    <s v="Yes"/>
    <s v="Yes"/>
    <n v="3.3"/>
    <x v="0"/>
    <n v="7"/>
    <s v="July"/>
  </r>
  <r>
    <s v="C0840"/>
    <s v="Vikram Rao"/>
    <n v="25"/>
    <x v="0"/>
    <x v="3"/>
    <s v="Maharashtra"/>
    <s v="Mahindra"/>
    <x v="0"/>
    <x v="3"/>
    <x v="1"/>
    <s v="Automatic"/>
    <d v="2025-04-09T00:00:00"/>
    <d v="2025-04-18T00:00:00"/>
    <n v="1854062"/>
    <n v="62068"/>
    <n v="1791994"/>
    <x v="2"/>
    <x v="4"/>
    <s v="No"/>
    <s v="Yes"/>
    <n v="4.8"/>
    <x v="2"/>
    <n v="4"/>
    <s v="April"/>
  </r>
  <r>
    <s v="C0841"/>
    <s v="Arjun Kumar"/>
    <n v="33"/>
    <x v="1"/>
    <x v="2"/>
    <s v="Tamil Nadu"/>
    <s v="Mahindra"/>
    <x v="1"/>
    <x v="3"/>
    <x v="1"/>
    <s v="Manual"/>
    <d v="2025-04-27T00:00:00"/>
    <d v="2025-05-20T00:00:00"/>
    <n v="1827964"/>
    <n v="15478"/>
    <n v="1812486"/>
    <x v="3"/>
    <x v="3"/>
    <s v="No"/>
    <s v="Yes"/>
    <n v="3.5"/>
    <x v="0"/>
    <n v="5"/>
    <s v="May"/>
  </r>
  <r>
    <s v="C0842"/>
    <s v="Vikram Rao"/>
    <n v="48"/>
    <x v="1"/>
    <x v="3"/>
    <s v="Maharashtra"/>
    <s v="Mahindra"/>
    <x v="1"/>
    <x v="4"/>
    <x v="0"/>
    <s v="Manual"/>
    <d v="2026-03-20T00:00:00"/>
    <d v="2026-04-15T00:00:00"/>
    <n v="1436206"/>
    <n v="66078"/>
    <n v="1370128"/>
    <x v="0"/>
    <x v="0"/>
    <s v="Yes"/>
    <s v="Yes"/>
    <n v="4.4000000000000004"/>
    <x v="0"/>
    <n v="4"/>
    <s v="April"/>
  </r>
  <r>
    <s v="C0843"/>
    <s v="Priya Nair"/>
    <n v="23"/>
    <x v="1"/>
    <x v="1"/>
    <s v="Tamil Nadu"/>
    <s v="Mahindra"/>
    <x v="2"/>
    <x v="4"/>
    <x v="1"/>
    <s v="Automatic"/>
    <d v="2025-04-28T00:00:00"/>
    <d v="2025-05-15T00:00:00"/>
    <n v="1598294"/>
    <n v="13016"/>
    <n v="1585278"/>
    <x v="4"/>
    <x v="0"/>
    <s v="Yes"/>
    <s v="No"/>
    <n v="4.5999999999999996"/>
    <x v="1"/>
    <n v="5"/>
    <s v="May"/>
  </r>
  <r>
    <s v="C0844"/>
    <s v="Pooja Das"/>
    <n v="49"/>
    <x v="1"/>
    <x v="0"/>
    <s v="Telangana"/>
    <s v="Mahindra"/>
    <x v="1"/>
    <x v="2"/>
    <x v="1"/>
    <s v="Automatic"/>
    <d v="2025-09-05T00:00:00"/>
    <d v="2025-09-20T00:00:00"/>
    <n v="1473775"/>
    <n v="42340"/>
    <n v="1431435"/>
    <x v="1"/>
    <x v="2"/>
    <s v="No"/>
    <s v="Yes"/>
    <n v="3.3"/>
    <x v="1"/>
    <n v="9"/>
    <s v="September"/>
  </r>
  <r>
    <s v="C0845"/>
    <s v="Pooja Das"/>
    <n v="35"/>
    <x v="0"/>
    <x v="1"/>
    <s v="Tamil Nadu"/>
    <s v="Mahindra"/>
    <x v="1"/>
    <x v="1"/>
    <x v="1"/>
    <s v="Automatic"/>
    <d v="2025-09-30T00:00:00"/>
    <d v="2025-10-08T00:00:00"/>
    <n v="1658351"/>
    <n v="98071"/>
    <n v="1560280"/>
    <x v="1"/>
    <x v="4"/>
    <s v="No"/>
    <s v="No"/>
    <n v="3.2"/>
    <x v="2"/>
    <n v="10"/>
    <s v="October"/>
  </r>
  <r>
    <s v="C0846"/>
    <s v="Karthik S"/>
    <n v="59"/>
    <x v="0"/>
    <x v="0"/>
    <s v="Telangana"/>
    <s v="Mahindra"/>
    <x v="1"/>
    <x v="2"/>
    <x v="1"/>
    <s v="Automatic"/>
    <d v="2025-10-03T00:00:00"/>
    <d v="2025-11-04T00:00:00"/>
    <n v="1599741"/>
    <n v="21854"/>
    <n v="1577887"/>
    <x v="1"/>
    <x v="4"/>
    <s v="Yes"/>
    <s v="Yes"/>
    <n v="3.8"/>
    <x v="0"/>
    <n v="11"/>
    <s v="November"/>
  </r>
  <r>
    <s v="C0847"/>
    <s v="Sneha Patel"/>
    <n v="28"/>
    <x v="1"/>
    <x v="2"/>
    <s v="Tamil Nadu"/>
    <s v="Mahindra"/>
    <x v="1"/>
    <x v="0"/>
    <x v="0"/>
    <s v="Manual"/>
    <d v="2026-03-06T00:00:00"/>
    <d v="2026-04-16T00:00:00"/>
    <n v="1785228"/>
    <n v="60740"/>
    <n v="1724488"/>
    <x v="4"/>
    <x v="1"/>
    <s v="Yes"/>
    <s v="Yes"/>
    <n v="4.9000000000000004"/>
    <x v="0"/>
    <n v="4"/>
    <s v="April"/>
  </r>
  <r>
    <s v="C0848"/>
    <s v="Vikram Rao"/>
    <n v="21"/>
    <x v="1"/>
    <x v="0"/>
    <s v="Telangana"/>
    <s v="Mahindra"/>
    <x v="0"/>
    <x v="2"/>
    <x v="1"/>
    <s v="Manual"/>
    <d v="2026-04-23T00:00:00"/>
    <d v="2026-05-24T00:00:00"/>
    <n v="1753482"/>
    <n v="33726"/>
    <n v="1719756"/>
    <x v="4"/>
    <x v="1"/>
    <s v="No"/>
    <s v="No"/>
    <n v="3.1"/>
    <x v="0"/>
    <n v="5"/>
    <s v="May"/>
  </r>
  <r>
    <s v="C0849"/>
    <s v="Karthik S"/>
    <n v="59"/>
    <x v="0"/>
    <x v="5"/>
    <s v="Tamil Nadu"/>
    <s v="Mahindra"/>
    <x v="1"/>
    <x v="2"/>
    <x v="0"/>
    <s v="Manual"/>
    <d v="2025-11-14T00:00:00"/>
    <d v="2025-12-20T00:00:00"/>
    <n v="1537924"/>
    <n v="11099"/>
    <n v="1526825"/>
    <x v="2"/>
    <x v="2"/>
    <s v="Yes"/>
    <s v="Yes"/>
    <n v="4.7"/>
    <x v="0"/>
    <n v="12"/>
    <s v="December"/>
  </r>
  <r>
    <s v="C0850"/>
    <s v="Meera Iyer"/>
    <n v="41"/>
    <x v="0"/>
    <x v="4"/>
    <s v="Karnataka"/>
    <s v="Mahindra"/>
    <x v="1"/>
    <x v="2"/>
    <x v="1"/>
    <s v="Manual"/>
    <d v="2025-05-26T00:00:00"/>
    <d v="2025-06-21T00:00:00"/>
    <n v="1471970"/>
    <n v="98708"/>
    <n v="1373262"/>
    <x v="3"/>
    <x v="0"/>
    <s v="Yes"/>
    <s v="No"/>
    <n v="4.9000000000000004"/>
    <x v="0"/>
    <n v="6"/>
    <s v="June"/>
  </r>
  <r>
    <s v="C0851"/>
    <s v="Vikram Rao"/>
    <n v="58"/>
    <x v="0"/>
    <x v="1"/>
    <s v="Tamil Nadu"/>
    <s v="Mahindra"/>
    <x v="1"/>
    <x v="2"/>
    <x v="1"/>
    <s v="Manual"/>
    <d v="2025-08-12T00:00:00"/>
    <d v="2025-08-30T00:00:00"/>
    <n v="1528727"/>
    <n v="18412"/>
    <n v="1510315"/>
    <x v="4"/>
    <x v="4"/>
    <s v="No"/>
    <s v="No"/>
    <n v="4.5"/>
    <x v="1"/>
    <n v="8"/>
    <s v="August"/>
  </r>
  <r>
    <s v="C0852"/>
    <s v="Vikram Rao"/>
    <n v="49"/>
    <x v="1"/>
    <x v="0"/>
    <s v="Telangana"/>
    <s v="Mahindra"/>
    <x v="0"/>
    <x v="2"/>
    <x v="0"/>
    <s v="Automatic"/>
    <d v="2026-06-02T00:00:00"/>
    <d v="2026-07-11T00:00:00"/>
    <n v="1504919"/>
    <n v="41094"/>
    <n v="1463825"/>
    <x v="4"/>
    <x v="0"/>
    <s v="No"/>
    <s v="Yes"/>
    <n v="3.5"/>
    <x v="0"/>
    <n v="7"/>
    <s v="July"/>
  </r>
  <r>
    <s v="C0853"/>
    <s v="Pooja Das"/>
    <n v="33"/>
    <x v="0"/>
    <x v="1"/>
    <s v="Tamil Nadu"/>
    <s v="Mahindra"/>
    <x v="0"/>
    <x v="4"/>
    <x v="0"/>
    <s v="Automatic"/>
    <d v="2025-06-18T00:00:00"/>
    <d v="2025-07-07T00:00:00"/>
    <n v="1669287"/>
    <n v="90695"/>
    <n v="1578592"/>
    <x v="3"/>
    <x v="0"/>
    <s v="No"/>
    <s v="No"/>
    <n v="3.2"/>
    <x v="1"/>
    <n v="7"/>
    <s v="July"/>
  </r>
  <r>
    <s v="C0854"/>
    <s v="Pooja Das"/>
    <n v="36"/>
    <x v="1"/>
    <x v="0"/>
    <s v="Telangana"/>
    <s v="Mahindra"/>
    <x v="1"/>
    <x v="0"/>
    <x v="0"/>
    <s v="Automatic"/>
    <d v="2025-01-24T00:00:00"/>
    <d v="2025-02-16T00:00:00"/>
    <n v="1662669"/>
    <n v="21735"/>
    <n v="1640934"/>
    <x v="4"/>
    <x v="3"/>
    <s v="No"/>
    <s v="No"/>
    <n v="3.6"/>
    <x v="0"/>
    <n v="2"/>
    <s v="February"/>
  </r>
  <r>
    <s v="C0855"/>
    <s v="Meera Iyer"/>
    <n v="28"/>
    <x v="0"/>
    <x v="5"/>
    <s v="Tamil Nadu"/>
    <s v="Mahindra"/>
    <x v="1"/>
    <x v="3"/>
    <x v="0"/>
    <s v="Manual"/>
    <d v="2025-09-01T00:00:00"/>
    <d v="2025-09-21T00:00:00"/>
    <n v="1637687"/>
    <n v="54501"/>
    <n v="1583186"/>
    <x v="4"/>
    <x v="1"/>
    <s v="Yes"/>
    <s v="Yes"/>
    <n v="4.8"/>
    <x v="1"/>
    <n v="9"/>
    <s v="September"/>
  </r>
  <r>
    <s v="C0856"/>
    <s v="Vikram Rao"/>
    <n v="25"/>
    <x v="1"/>
    <x v="2"/>
    <s v="Tamil Nadu"/>
    <s v="Mahindra"/>
    <x v="0"/>
    <x v="3"/>
    <x v="0"/>
    <s v="Manual"/>
    <d v="2025-06-09T00:00:00"/>
    <d v="2025-06-26T00:00:00"/>
    <n v="1848194"/>
    <n v="37971"/>
    <n v="1810223"/>
    <x v="2"/>
    <x v="1"/>
    <s v="Yes"/>
    <s v="Yes"/>
    <n v="4.8"/>
    <x v="1"/>
    <n v="6"/>
    <s v="June"/>
  </r>
  <r>
    <s v="C0857"/>
    <s v="Karthik S"/>
    <n v="25"/>
    <x v="1"/>
    <x v="3"/>
    <s v="Maharashtra"/>
    <s v="Mahindra"/>
    <x v="1"/>
    <x v="1"/>
    <x v="0"/>
    <s v="Manual"/>
    <d v="2025-07-09T00:00:00"/>
    <d v="2025-07-22T00:00:00"/>
    <n v="1376673"/>
    <n v="26913"/>
    <n v="1349760"/>
    <x v="4"/>
    <x v="3"/>
    <s v="No"/>
    <s v="No"/>
    <n v="3.8"/>
    <x v="1"/>
    <n v="7"/>
    <s v="July"/>
  </r>
  <r>
    <s v="C0858"/>
    <s v="Pooja Das"/>
    <n v="24"/>
    <x v="0"/>
    <x v="1"/>
    <s v="Tamil Nadu"/>
    <s v="Mahindra"/>
    <x v="1"/>
    <x v="3"/>
    <x v="1"/>
    <s v="Automatic"/>
    <d v="2025-08-11T00:00:00"/>
    <d v="2025-08-27T00:00:00"/>
    <n v="1661788"/>
    <n v="12765"/>
    <n v="1649023"/>
    <x v="1"/>
    <x v="0"/>
    <s v="Yes"/>
    <s v="No"/>
    <n v="4.5"/>
    <x v="1"/>
    <n v="8"/>
    <s v="August"/>
  </r>
  <r>
    <s v="C0859"/>
    <s v="Sneha Patel"/>
    <n v="33"/>
    <x v="1"/>
    <x v="5"/>
    <s v="Tamil Nadu"/>
    <s v="Mahindra"/>
    <x v="0"/>
    <x v="1"/>
    <x v="0"/>
    <s v="Automatic"/>
    <d v="2025-03-31T00:00:00"/>
    <d v="2025-04-27T00:00:00"/>
    <n v="1589832"/>
    <n v="69096"/>
    <n v="1520736"/>
    <x v="0"/>
    <x v="4"/>
    <s v="Yes"/>
    <s v="Yes"/>
    <n v="4.2"/>
    <x v="0"/>
    <n v="4"/>
    <s v="April"/>
  </r>
  <r>
    <s v="C0860"/>
    <s v="Vikram Rao"/>
    <n v="45"/>
    <x v="0"/>
    <x v="0"/>
    <s v="Telangana"/>
    <s v="Mahindra"/>
    <x v="1"/>
    <x v="2"/>
    <x v="0"/>
    <s v="Manual"/>
    <d v="2026-03-27T00:00:00"/>
    <d v="2026-05-04T00:00:00"/>
    <n v="1722121"/>
    <n v="40666"/>
    <n v="1681455"/>
    <x v="3"/>
    <x v="1"/>
    <s v="No"/>
    <s v="Yes"/>
    <n v="4.3"/>
    <x v="0"/>
    <n v="5"/>
    <s v="May"/>
  </r>
  <r>
    <s v="C0861"/>
    <s v="Pooja Das"/>
    <n v="22"/>
    <x v="1"/>
    <x v="3"/>
    <s v="Maharashtra"/>
    <s v="Mahindra"/>
    <x v="1"/>
    <x v="1"/>
    <x v="0"/>
    <s v="Automatic"/>
    <d v="2026-06-21T00:00:00"/>
    <d v="2026-07-19T00:00:00"/>
    <n v="1552495"/>
    <n v="28861"/>
    <n v="1523634"/>
    <x v="3"/>
    <x v="2"/>
    <s v="No"/>
    <s v="No"/>
    <n v="4.8"/>
    <x v="0"/>
    <n v="7"/>
    <s v="July"/>
  </r>
  <r>
    <s v="C0862"/>
    <s v="Rahul Sharma"/>
    <n v="57"/>
    <x v="0"/>
    <x v="2"/>
    <s v="Tamil Nadu"/>
    <s v="Mahindra"/>
    <x v="0"/>
    <x v="4"/>
    <x v="1"/>
    <s v="Automatic"/>
    <d v="2026-05-27T00:00:00"/>
    <d v="2026-06-03T00:00:00"/>
    <n v="1352475"/>
    <n v="89049"/>
    <n v="1263426"/>
    <x v="0"/>
    <x v="2"/>
    <s v="Yes"/>
    <s v="Yes"/>
    <n v="3.4"/>
    <x v="2"/>
    <n v="6"/>
    <s v="June"/>
  </r>
  <r>
    <s v="C0863"/>
    <s v="Priya Nair"/>
    <n v="28"/>
    <x v="1"/>
    <x v="5"/>
    <s v="Tamil Nadu"/>
    <s v="Mahindra"/>
    <x v="0"/>
    <x v="3"/>
    <x v="0"/>
    <s v="Manual"/>
    <d v="2026-01-17T00:00:00"/>
    <d v="2026-02-07T00:00:00"/>
    <n v="1661713"/>
    <n v="39651"/>
    <n v="1622062"/>
    <x v="2"/>
    <x v="0"/>
    <s v="No"/>
    <s v="Yes"/>
    <n v="3.7"/>
    <x v="0"/>
    <n v="2"/>
    <s v="February"/>
  </r>
  <r>
    <s v="C0864"/>
    <s v="Meera Iyer"/>
    <n v="27"/>
    <x v="0"/>
    <x v="5"/>
    <s v="Tamil Nadu"/>
    <s v="Mahindra"/>
    <x v="1"/>
    <x v="1"/>
    <x v="1"/>
    <s v="Manual"/>
    <d v="2025-09-16T00:00:00"/>
    <d v="2025-10-15T00:00:00"/>
    <n v="1713295"/>
    <n v="18194"/>
    <n v="1695101"/>
    <x v="1"/>
    <x v="4"/>
    <s v="No"/>
    <s v="No"/>
    <n v="4.8"/>
    <x v="0"/>
    <n v="10"/>
    <s v="October"/>
  </r>
  <r>
    <s v="C0865"/>
    <s v="Meera Iyer"/>
    <n v="33"/>
    <x v="1"/>
    <x v="5"/>
    <s v="Tamil Nadu"/>
    <s v="Mahindra"/>
    <x v="0"/>
    <x v="0"/>
    <x v="1"/>
    <s v="Automatic"/>
    <d v="2025-08-11T00:00:00"/>
    <d v="2025-09-07T00:00:00"/>
    <n v="1535891"/>
    <n v="34442"/>
    <n v="1501449"/>
    <x v="1"/>
    <x v="1"/>
    <s v="No"/>
    <s v="No"/>
    <n v="5"/>
    <x v="0"/>
    <n v="9"/>
    <s v="September"/>
  </r>
  <r>
    <s v="C0866"/>
    <s v="Meera Iyer"/>
    <n v="26"/>
    <x v="1"/>
    <x v="4"/>
    <s v="Karnataka"/>
    <s v="Mahindra"/>
    <x v="1"/>
    <x v="2"/>
    <x v="0"/>
    <s v="Automatic"/>
    <d v="2025-03-06T00:00:00"/>
    <d v="2025-04-14T00:00:00"/>
    <n v="1764403"/>
    <n v="10522"/>
    <n v="1753881"/>
    <x v="2"/>
    <x v="0"/>
    <s v="Yes"/>
    <s v="Yes"/>
    <n v="4"/>
    <x v="0"/>
    <n v="4"/>
    <s v="April"/>
  </r>
  <r>
    <s v="C0867"/>
    <s v="Karthik S"/>
    <n v="43"/>
    <x v="1"/>
    <x v="5"/>
    <s v="Tamil Nadu"/>
    <s v="Mahindra"/>
    <x v="1"/>
    <x v="4"/>
    <x v="0"/>
    <s v="Automatic"/>
    <d v="2025-10-29T00:00:00"/>
    <d v="2025-11-28T00:00:00"/>
    <n v="1712555"/>
    <n v="48953"/>
    <n v="1663602"/>
    <x v="1"/>
    <x v="4"/>
    <s v="No"/>
    <s v="Yes"/>
    <n v="3.4"/>
    <x v="0"/>
    <n v="11"/>
    <s v="November"/>
  </r>
  <r>
    <s v="C0868"/>
    <s v="Meera Iyer"/>
    <n v="27"/>
    <x v="0"/>
    <x v="3"/>
    <s v="Maharashtra"/>
    <s v="Mahindra"/>
    <x v="2"/>
    <x v="4"/>
    <x v="0"/>
    <s v="Manual"/>
    <d v="2026-05-31T00:00:00"/>
    <d v="2026-07-06T00:00:00"/>
    <n v="1307962"/>
    <n v="19662"/>
    <n v="1288300"/>
    <x v="1"/>
    <x v="3"/>
    <s v="Yes"/>
    <s v="No"/>
    <n v="4.5"/>
    <x v="0"/>
    <n v="7"/>
    <s v="July"/>
  </r>
  <r>
    <s v="C0869"/>
    <s v="Anjali Verma"/>
    <n v="24"/>
    <x v="0"/>
    <x v="3"/>
    <s v="Maharashtra"/>
    <s v="Mahindra"/>
    <x v="2"/>
    <x v="0"/>
    <x v="0"/>
    <s v="Manual"/>
    <d v="2026-03-16T00:00:00"/>
    <d v="2026-03-29T00:00:00"/>
    <n v="1462596"/>
    <n v="30557"/>
    <n v="1432039"/>
    <x v="0"/>
    <x v="0"/>
    <s v="Yes"/>
    <s v="No"/>
    <n v="3.9"/>
    <x v="1"/>
    <n v="3"/>
    <s v="March"/>
  </r>
  <r>
    <s v="C0870"/>
    <s v="Sneha Patel"/>
    <n v="32"/>
    <x v="0"/>
    <x v="5"/>
    <s v="Tamil Nadu"/>
    <s v="Mahindra"/>
    <x v="1"/>
    <x v="3"/>
    <x v="1"/>
    <s v="Automatic"/>
    <d v="2026-02-14T00:00:00"/>
    <d v="2026-03-17T00:00:00"/>
    <n v="1890960"/>
    <n v="41932"/>
    <n v="1849028"/>
    <x v="1"/>
    <x v="4"/>
    <s v="No"/>
    <s v="No"/>
    <n v="4"/>
    <x v="0"/>
    <n v="3"/>
    <s v="March"/>
  </r>
  <r>
    <s v="C0871"/>
    <s v="Rahul Sharma"/>
    <n v="32"/>
    <x v="1"/>
    <x v="1"/>
    <s v="Tamil Nadu"/>
    <s v="Mahindra"/>
    <x v="1"/>
    <x v="3"/>
    <x v="0"/>
    <s v="Manual"/>
    <d v="2025-09-16T00:00:00"/>
    <d v="2025-10-20T00:00:00"/>
    <n v="1507288"/>
    <n v="38503"/>
    <n v="1468785"/>
    <x v="2"/>
    <x v="2"/>
    <s v="Yes"/>
    <s v="Yes"/>
    <n v="3.2"/>
    <x v="0"/>
    <n v="10"/>
    <s v="October"/>
  </r>
  <r>
    <s v="C0872"/>
    <s v="Pooja Das"/>
    <n v="21"/>
    <x v="1"/>
    <x v="4"/>
    <s v="Karnataka"/>
    <s v="Mahindra"/>
    <x v="1"/>
    <x v="1"/>
    <x v="0"/>
    <s v="Automatic"/>
    <d v="2025-01-07T00:00:00"/>
    <d v="2025-02-20T00:00:00"/>
    <n v="1573313"/>
    <n v="59139"/>
    <n v="1514174"/>
    <x v="4"/>
    <x v="2"/>
    <s v="No"/>
    <s v="No"/>
    <n v="4.7"/>
    <x v="0"/>
    <n v="2"/>
    <s v="February"/>
  </r>
  <r>
    <s v="C0873"/>
    <s v="Arjun Kumar"/>
    <n v="37"/>
    <x v="1"/>
    <x v="0"/>
    <s v="Telangana"/>
    <s v="Mahindra"/>
    <x v="2"/>
    <x v="0"/>
    <x v="0"/>
    <s v="Manual"/>
    <d v="2025-02-11T00:00:00"/>
    <d v="2025-02-19T00:00:00"/>
    <n v="1532589"/>
    <n v="25539"/>
    <n v="1507050"/>
    <x v="0"/>
    <x v="4"/>
    <s v="Yes"/>
    <s v="No"/>
    <n v="4.5999999999999996"/>
    <x v="2"/>
    <n v="2"/>
    <s v="February"/>
  </r>
  <r>
    <s v="C0874"/>
    <s v="Karthik S"/>
    <n v="22"/>
    <x v="0"/>
    <x v="0"/>
    <s v="Telangana"/>
    <s v="Mahindra"/>
    <x v="0"/>
    <x v="2"/>
    <x v="0"/>
    <s v="Automatic"/>
    <d v="2026-06-06T00:00:00"/>
    <d v="2026-06-15T00:00:00"/>
    <n v="1767062"/>
    <n v="23644"/>
    <n v="1743418"/>
    <x v="4"/>
    <x v="0"/>
    <s v="No"/>
    <s v="No"/>
    <n v="5"/>
    <x v="2"/>
    <n v="6"/>
    <s v="June"/>
  </r>
  <r>
    <s v="C0875"/>
    <s v="Priya Nair"/>
    <n v="48"/>
    <x v="0"/>
    <x v="2"/>
    <s v="Tamil Nadu"/>
    <s v="Mahindra"/>
    <x v="1"/>
    <x v="4"/>
    <x v="1"/>
    <s v="Manual"/>
    <d v="2025-01-09T00:00:00"/>
    <d v="2025-02-01T00:00:00"/>
    <n v="1630216"/>
    <n v="67563"/>
    <n v="1562653"/>
    <x v="0"/>
    <x v="2"/>
    <s v="No"/>
    <s v="Yes"/>
    <n v="4.5"/>
    <x v="0"/>
    <n v="2"/>
    <s v="February"/>
  </r>
  <r>
    <s v="C0876"/>
    <s v="Anjali Verma"/>
    <n v="59"/>
    <x v="0"/>
    <x v="4"/>
    <s v="Karnataka"/>
    <s v="Mahindra"/>
    <x v="0"/>
    <x v="3"/>
    <x v="1"/>
    <s v="Automatic"/>
    <d v="2026-03-08T00:00:00"/>
    <d v="2026-03-28T00:00:00"/>
    <n v="1872271"/>
    <n v="94361"/>
    <n v="1777910"/>
    <x v="3"/>
    <x v="0"/>
    <s v="Yes"/>
    <s v="No"/>
    <n v="3.5"/>
    <x v="1"/>
    <n v="3"/>
    <s v="March"/>
  </r>
  <r>
    <s v="C0877"/>
    <s v="Karthik S"/>
    <n v="34"/>
    <x v="0"/>
    <x v="0"/>
    <s v="Telangana"/>
    <s v="Mahindra"/>
    <x v="0"/>
    <x v="3"/>
    <x v="0"/>
    <s v="Automatic"/>
    <d v="2026-01-10T00:00:00"/>
    <d v="2026-01-24T00:00:00"/>
    <n v="1572902"/>
    <n v="74262"/>
    <n v="1498640"/>
    <x v="4"/>
    <x v="3"/>
    <s v="Yes"/>
    <s v="Yes"/>
    <n v="4.3"/>
    <x v="1"/>
    <n v="1"/>
    <s v="January"/>
  </r>
  <r>
    <s v="C0878"/>
    <s v="Sneha Patel"/>
    <n v="23"/>
    <x v="1"/>
    <x v="3"/>
    <s v="Maharashtra"/>
    <s v="Mahindra"/>
    <x v="2"/>
    <x v="0"/>
    <x v="1"/>
    <s v="Manual"/>
    <d v="2025-02-20T00:00:00"/>
    <d v="2025-03-02T00:00:00"/>
    <n v="1301714"/>
    <n v="46487"/>
    <n v="1255227"/>
    <x v="3"/>
    <x v="0"/>
    <s v="No"/>
    <s v="Yes"/>
    <n v="4.3"/>
    <x v="2"/>
    <n v="3"/>
    <s v="March"/>
  </r>
  <r>
    <s v="C0879"/>
    <s v="Anjali Verma"/>
    <n v="52"/>
    <x v="1"/>
    <x v="5"/>
    <s v="Tamil Nadu"/>
    <s v="Mahindra"/>
    <x v="2"/>
    <x v="4"/>
    <x v="1"/>
    <s v="Automatic"/>
    <d v="2025-02-05T00:00:00"/>
    <d v="2025-02-20T00:00:00"/>
    <n v="1894724"/>
    <n v="85691"/>
    <n v="1809033"/>
    <x v="3"/>
    <x v="4"/>
    <s v="No"/>
    <s v="Yes"/>
    <n v="4"/>
    <x v="1"/>
    <n v="2"/>
    <s v="February"/>
  </r>
  <r>
    <s v="C0880"/>
    <s v="Arjun Kumar"/>
    <n v="24"/>
    <x v="0"/>
    <x v="0"/>
    <s v="Telangana"/>
    <s v="Mahindra"/>
    <x v="0"/>
    <x v="1"/>
    <x v="0"/>
    <s v="Automatic"/>
    <d v="2025-07-05T00:00:00"/>
    <d v="2025-07-12T00:00:00"/>
    <n v="1776974"/>
    <n v="82495"/>
    <n v="1694479"/>
    <x v="2"/>
    <x v="2"/>
    <s v="No"/>
    <s v="Yes"/>
    <n v="3.1"/>
    <x v="2"/>
    <n v="7"/>
    <s v="July"/>
  </r>
  <r>
    <s v="C0881"/>
    <s v="Sneha Patel"/>
    <n v="38"/>
    <x v="1"/>
    <x v="5"/>
    <s v="Tamil Nadu"/>
    <s v="Mahindra"/>
    <x v="1"/>
    <x v="2"/>
    <x v="0"/>
    <s v="Manual"/>
    <d v="2025-08-10T00:00:00"/>
    <d v="2025-09-03T00:00:00"/>
    <n v="1848026"/>
    <n v="21329"/>
    <n v="1826697"/>
    <x v="3"/>
    <x v="0"/>
    <s v="Yes"/>
    <s v="No"/>
    <n v="3.5"/>
    <x v="0"/>
    <n v="9"/>
    <s v="September"/>
  </r>
  <r>
    <s v="C0882"/>
    <s v="Karthik S"/>
    <n v="22"/>
    <x v="0"/>
    <x v="1"/>
    <s v="Tamil Nadu"/>
    <s v="Mahindra"/>
    <x v="1"/>
    <x v="4"/>
    <x v="1"/>
    <s v="Automatic"/>
    <d v="2026-02-02T00:00:00"/>
    <d v="2026-03-18T00:00:00"/>
    <n v="1726368"/>
    <n v="11427"/>
    <n v="1714941"/>
    <x v="1"/>
    <x v="1"/>
    <s v="Yes"/>
    <s v="Yes"/>
    <n v="3"/>
    <x v="0"/>
    <n v="3"/>
    <s v="March"/>
  </r>
  <r>
    <s v="C0883"/>
    <s v="Rahul Sharma"/>
    <n v="44"/>
    <x v="0"/>
    <x v="3"/>
    <s v="Maharashtra"/>
    <s v="Mahindra"/>
    <x v="0"/>
    <x v="2"/>
    <x v="0"/>
    <s v="Manual"/>
    <d v="2025-07-22T00:00:00"/>
    <d v="2025-08-17T00:00:00"/>
    <n v="1515510"/>
    <n v="47057"/>
    <n v="1468453"/>
    <x v="1"/>
    <x v="2"/>
    <s v="No"/>
    <s v="Yes"/>
    <n v="4.2"/>
    <x v="0"/>
    <n v="8"/>
    <s v="August"/>
  </r>
  <r>
    <s v="C0884"/>
    <s v="Arjun Kumar"/>
    <n v="46"/>
    <x v="0"/>
    <x v="0"/>
    <s v="Telangana"/>
    <s v="Mahindra"/>
    <x v="0"/>
    <x v="1"/>
    <x v="0"/>
    <s v="Automatic"/>
    <d v="2025-09-09T00:00:00"/>
    <d v="2025-09-28T00:00:00"/>
    <n v="1406999"/>
    <n v="22745"/>
    <n v="1384254"/>
    <x v="0"/>
    <x v="3"/>
    <s v="Yes"/>
    <s v="No"/>
    <n v="4.5"/>
    <x v="1"/>
    <n v="9"/>
    <s v="September"/>
  </r>
  <r>
    <s v="C0885"/>
    <s v="Pooja Das"/>
    <n v="32"/>
    <x v="0"/>
    <x v="1"/>
    <s v="Tamil Nadu"/>
    <s v="Mahindra"/>
    <x v="1"/>
    <x v="2"/>
    <x v="0"/>
    <s v="Automatic"/>
    <d v="2025-07-12T00:00:00"/>
    <d v="2025-08-22T00:00:00"/>
    <n v="1405115"/>
    <n v="37669"/>
    <n v="1367446"/>
    <x v="4"/>
    <x v="0"/>
    <s v="No"/>
    <s v="No"/>
    <n v="4.4000000000000004"/>
    <x v="0"/>
    <n v="8"/>
    <s v="August"/>
  </r>
  <r>
    <s v="C0886"/>
    <s v="Karthik S"/>
    <n v="42"/>
    <x v="0"/>
    <x v="0"/>
    <s v="Telangana"/>
    <s v="Mahindra"/>
    <x v="1"/>
    <x v="0"/>
    <x v="0"/>
    <s v="Automatic"/>
    <d v="2025-11-10T00:00:00"/>
    <d v="2025-12-14T00:00:00"/>
    <n v="1434100"/>
    <n v="85400"/>
    <n v="1348700"/>
    <x v="0"/>
    <x v="1"/>
    <s v="Yes"/>
    <s v="No"/>
    <n v="4.9000000000000004"/>
    <x v="0"/>
    <n v="12"/>
    <s v="December"/>
  </r>
  <r>
    <s v="C0887"/>
    <s v="Anjali Verma"/>
    <n v="26"/>
    <x v="0"/>
    <x v="2"/>
    <s v="Tamil Nadu"/>
    <s v="Mahindra"/>
    <x v="1"/>
    <x v="0"/>
    <x v="1"/>
    <s v="Automatic"/>
    <d v="2025-03-25T00:00:00"/>
    <d v="2025-05-07T00:00:00"/>
    <n v="1547106"/>
    <n v="44855"/>
    <n v="1502251"/>
    <x v="3"/>
    <x v="2"/>
    <s v="No"/>
    <s v="No"/>
    <n v="4"/>
    <x v="0"/>
    <n v="5"/>
    <s v="May"/>
  </r>
  <r>
    <s v="C0888"/>
    <s v="Pooja Das"/>
    <n v="59"/>
    <x v="0"/>
    <x v="1"/>
    <s v="Tamil Nadu"/>
    <s v="Mahindra"/>
    <x v="0"/>
    <x v="0"/>
    <x v="1"/>
    <s v="Manual"/>
    <d v="2025-08-24T00:00:00"/>
    <d v="2025-09-13T00:00:00"/>
    <n v="1511138"/>
    <n v="96803"/>
    <n v="1414335"/>
    <x v="2"/>
    <x v="1"/>
    <s v="No"/>
    <s v="Yes"/>
    <n v="4.5999999999999996"/>
    <x v="1"/>
    <n v="9"/>
    <s v="September"/>
  </r>
  <r>
    <s v="C0889"/>
    <s v="Priya Nair"/>
    <n v="42"/>
    <x v="1"/>
    <x v="0"/>
    <s v="Telangana"/>
    <s v="Mahindra"/>
    <x v="0"/>
    <x v="3"/>
    <x v="1"/>
    <s v="Manual"/>
    <d v="2025-04-11T00:00:00"/>
    <d v="2025-05-01T00:00:00"/>
    <n v="1528106"/>
    <n v="87290"/>
    <n v="1440816"/>
    <x v="1"/>
    <x v="1"/>
    <s v="No"/>
    <s v="No"/>
    <n v="4.0999999999999996"/>
    <x v="1"/>
    <n v="5"/>
    <s v="May"/>
  </r>
  <r>
    <s v="C0890"/>
    <s v="Rohit Singh"/>
    <n v="27"/>
    <x v="0"/>
    <x v="4"/>
    <s v="Karnataka"/>
    <s v="Mahindra"/>
    <x v="2"/>
    <x v="4"/>
    <x v="1"/>
    <s v="Automatic"/>
    <d v="2026-04-03T00:00:00"/>
    <d v="2026-04-24T00:00:00"/>
    <n v="1592923"/>
    <n v="24906"/>
    <n v="1568017"/>
    <x v="1"/>
    <x v="1"/>
    <s v="Yes"/>
    <s v="Yes"/>
    <n v="3.2"/>
    <x v="0"/>
    <n v="4"/>
    <s v="April"/>
  </r>
  <r>
    <s v="C0891"/>
    <s v="Rahul Sharma"/>
    <n v="55"/>
    <x v="1"/>
    <x v="0"/>
    <s v="Telangana"/>
    <s v="Mahindra"/>
    <x v="1"/>
    <x v="0"/>
    <x v="0"/>
    <s v="Automatic"/>
    <d v="2025-06-08T00:00:00"/>
    <d v="2025-07-21T00:00:00"/>
    <n v="1855063"/>
    <n v="30578"/>
    <n v="1824485"/>
    <x v="2"/>
    <x v="4"/>
    <s v="Yes"/>
    <s v="Yes"/>
    <n v="4.8"/>
    <x v="0"/>
    <n v="7"/>
    <s v="July"/>
  </r>
  <r>
    <s v="C0892"/>
    <s v="Sneha Patel"/>
    <n v="60"/>
    <x v="0"/>
    <x v="4"/>
    <s v="Karnataka"/>
    <s v="Mahindra"/>
    <x v="2"/>
    <x v="3"/>
    <x v="1"/>
    <s v="Automatic"/>
    <d v="2026-01-27T00:00:00"/>
    <d v="2026-02-15T00:00:00"/>
    <n v="1384142"/>
    <n v="21326"/>
    <n v="1362816"/>
    <x v="3"/>
    <x v="4"/>
    <s v="Yes"/>
    <s v="No"/>
    <n v="4"/>
    <x v="1"/>
    <n v="2"/>
    <s v="February"/>
  </r>
  <r>
    <s v="C0893"/>
    <s v="Pooja Das"/>
    <n v="21"/>
    <x v="1"/>
    <x v="3"/>
    <s v="Maharashtra"/>
    <s v="Mahindra"/>
    <x v="1"/>
    <x v="0"/>
    <x v="1"/>
    <s v="Manual"/>
    <d v="2025-05-05T00:00:00"/>
    <d v="2025-06-02T00:00:00"/>
    <n v="1834191"/>
    <n v="49408"/>
    <n v="1784783"/>
    <x v="2"/>
    <x v="4"/>
    <s v="No"/>
    <s v="No"/>
    <n v="3.5"/>
    <x v="0"/>
    <n v="6"/>
    <s v="June"/>
  </r>
  <r>
    <s v="C0894"/>
    <s v="Anjali Verma"/>
    <n v="34"/>
    <x v="1"/>
    <x v="3"/>
    <s v="Maharashtra"/>
    <s v="Mahindra"/>
    <x v="2"/>
    <x v="4"/>
    <x v="0"/>
    <s v="Automatic"/>
    <d v="2025-09-09T00:00:00"/>
    <d v="2025-10-02T00:00:00"/>
    <n v="1501131"/>
    <n v="15749"/>
    <n v="1485382"/>
    <x v="3"/>
    <x v="1"/>
    <s v="No"/>
    <s v="Yes"/>
    <n v="3.4"/>
    <x v="0"/>
    <n v="10"/>
    <s v="October"/>
  </r>
  <r>
    <s v="C0895"/>
    <s v="Vikram Rao"/>
    <n v="37"/>
    <x v="1"/>
    <x v="3"/>
    <s v="Maharashtra"/>
    <s v="Mahindra"/>
    <x v="0"/>
    <x v="0"/>
    <x v="0"/>
    <s v="Automatic"/>
    <d v="2026-03-18T00:00:00"/>
    <d v="2026-04-14T00:00:00"/>
    <n v="1332308"/>
    <n v="17865"/>
    <n v="1314443"/>
    <x v="0"/>
    <x v="1"/>
    <s v="Yes"/>
    <s v="No"/>
    <n v="3.1"/>
    <x v="0"/>
    <n v="4"/>
    <s v="April"/>
  </r>
  <r>
    <s v="C0896"/>
    <s v="Rohit Singh"/>
    <n v="38"/>
    <x v="0"/>
    <x v="4"/>
    <s v="Karnataka"/>
    <s v="Mahindra"/>
    <x v="0"/>
    <x v="1"/>
    <x v="1"/>
    <s v="Automatic"/>
    <d v="2025-12-11T00:00:00"/>
    <d v="2026-01-03T00:00:00"/>
    <n v="1825977"/>
    <n v="33314"/>
    <n v="1792663"/>
    <x v="4"/>
    <x v="0"/>
    <s v="No"/>
    <s v="No"/>
    <n v="4"/>
    <x v="0"/>
    <n v="1"/>
    <s v="January"/>
  </r>
  <r>
    <s v="C0897"/>
    <s v="Meera Iyer"/>
    <n v="43"/>
    <x v="0"/>
    <x v="2"/>
    <s v="Tamil Nadu"/>
    <s v="Mahindra"/>
    <x v="0"/>
    <x v="0"/>
    <x v="0"/>
    <s v="Automatic"/>
    <d v="2026-05-22T00:00:00"/>
    <d v="2026-05-29T00:00:00"/>
    <n v="1403195"/>
    <n v="26593"/>
    <n v="1376602"/>
    <x v="3"/>
    <x v="4"/>
    <s v="No"/>
    <s v="No"/>
    <n v="4.3"/>
    <x v="2"/>
    <n v="5"/>
    <s v="May"/>
  </r>
  <r>
    <s v="C0898"/>
    <s v="Pooja Das"/>
    <n v="42"/>
    <x v="1"/>
    <x v="5"/>
    <s v="Tamil Nadu"/>
    <s v="Mahindra"/>
    <x v="1"/>
    <x v="0"/>
    <x v="1"/>
    <s v="Automatic"/>
    <d v="2025-08-18T00:00:00"/>
    <d v="2025-08-26T00:00:00"/>
    <n v="1564566"/>
    <n v="28400"/>
    <n v="1536166"/>
    <x v="1"/>
    <x v="3"/>
    <s v="Yes"/>
    <s v="Yes"/>
    <n v="4.5"/>
    <x v="2"/>
    <n v="8"/>
    <s v="August"/>
  </r>
  <r>
    <s v="C0899"/>
    <s v="Rohit Singh"/>
    <n v="45"/>
    <x v="1"/>
    <x v="3"/>
    <s v="Maharashtra"/>
    <s v="Mahindra"/>
    <x v="0"/>
    <x v="4"/>
    <x v="0"/>
    <s v="Automatic"/>
    <d v="2025-05-22T00:00:00"/>
    <d v="2025-06-15T00:00:00"/>
    <n v="1334084"/>
    <n v="27133"/>
    <n v="1306951"/>
    <x v="1"/>
    <x v="0"/>
    <s v="No"/>
    <s v="No"/>
    <n v="4.9000000000000004"/>
    <x v="0"/>
    <n v="6"/>
    <s v="June"/>
  </r>
  <r>
    <s v="C0900"/>
    <s v="Sneha Patel"/>
    <n v="26"/>
    <x v="1"/>
    <x v="4"/>
    <s v="Karnataka"/>
    <s v="Mahindra"/>
    <x v="1"/>
    <x v="2"/>
    <x v="0"/>
    <s v="Manual"/>
    <d v="2025-04-27T00:00:00"/>
    <d v="2025-05-08T00:00:00"/>
    <n v="1887395"/>
    <n v="91557"/>
    <n v="1795838"/>
    <x v="0"/>
    <x v="3"/>
    <s v="Yes"/>
    <s v="No"/>
    <n v="3.3"/>
    <x v="1"/>
    <n v="5"/>
    <s v="May"/>
  </r>
  <r>
    <s v="C0901"/>
    <s v="Priya Nair"/>
    <n v="60"/>
    <x v="1"/>
    <x v="0"/>
    <s v="Telangana"/>
    <s v="Mahindra"/>
    <x v="0"/>
    <x v="1"/>
    <x v="0"/>
    <s v="Manual"/>
    <d v="2025-07-20T00:00:00"/>
    <d v="2025-08-03T00:00:00"/>
    <n v="1462235"/>
    <n v="85263"/>
    <n v="1376972"/>
    <x v="2"/>
    <x v="4"/>
    <s v="No"/>
    <s v="Yes"/>
    <n v="4.2"/>
    <x v="1"/>
    <n v="8"/>
    <s v="August"/>
  </r>
  <r>
    <s v="C0902"/>
    <s v="Meera Iyer"/>
    <n v="56"/>
    <x v="0"/>
    <x v="5"/>
    <s v="Tamil Nadu"/>
    <s v="Mahindra"/>
    <x v="1"/>
    <x v="2"/>
    <x v="1"/>
    <s v="Automatic"/>
    <d v="2026-06-05T00:00:00"/>
    <d v="2026-06-27T00:00:00"/>
    <n v="1364237"/>
    <n v="50429"/>
    <n v="1313808"/>
    <x v="2"/>
    <x v="0"/>
    <s v="No"/>
    <s v="No"/>
    <n v="4.5"/>
    <x v="0"/>
    <n v="6"/>
    <s v="June"/>
  </r>
  <r>
    <s v="C0903"/>
    <s v="Vikram Rao"/>
    <n v="51"/>
    <x v="0"/>
    <x v="4"/>
    <s v="Karnataka"/>
    <s v="Mahindra"/>
    <x v="0"/>
    <x v="2"/>
    <x v="0"/>
    <s v="Manual"/>
    <d v="2026-05-21T00:00:00"/>
    <d v="2026-07-04T00:00:00"/>
    <n v="1317419"/>
    <n v="60473"/>
    <n v="1256946"/>
    <x v="0"/>
    <x v="1"/>
    <s v="Yes"/>
    <s v="No"/>
    <n v="3.1"/>
    <x v="0"/>
    <n v="7"/>
    <s v="July"/>
  </r>
  <r>
    <s v="C0904"/>
    <s v="Anjali Verma"/>
    <n v="23"/>
    <x v="1"/>
    <x v="0"/>
    <s v="Telangana"/>
    <s v="Mahindra"/>
    <x v="0"/>
    <x v="3"/>
    <x v="1"/>
    <s v="Manual"/>
    <d v="2026-02-11T00:00:00"/>
    <d v="2026-03-13T00:00:00"/>
    <n v="1685192"/>
    <n v="72204"/>
    <n v="1612988"/>
    <x v="1"/>
    <x v="4"/>
    <s v="Yes"/>
    <s v="Yes"/>
    <n v="3.2"/>
    <x v="0"/>
    <n v="3"/>
    <s v="March"/>
  </r>
  <r>
    <s v="C0905"/>
    <s v="Rahul Sharma"/>
    <n v="44"/>
    <x v="0"/>
    <x v="1"/>
    <s v="Tamil Nadu"/>
    <s v="Mahindra"/>
    <x v="0"/>
    <x v="3"/>
    <x v="0"/>
    <s v="Manual"/>
    <d v="2025-12-04T00:00:00"/>
    <d v="2025-12-16T00:00:00"/>
    <n v="1607369"/>
    <n v="20590"/>
    <n v="1586779"/>
    <x v="3"/>
    <x v="2"/>
    <s v="No"/>
    <s v="Yes"/>
    <n v="4.3"/>
    <x v="1"/>
    <n v="12"/>
    <s v="December"/>
  </r>
  <r>
    <s v="C0906"/>
    <s v="Karthik S"/>
    <n v="25"/>
    <x v="0"/>
    <x v="1"/>
    <s v="Tamil Nadu"/>
    <s v="Mahindra"/>
    <x v="0"/>
    <x v="3"/>
    <x v="0"/>
    <s v="Manual"/>
    <d v="2026-03-30T00:00:00"/>
    <d v="2026-04-16T00:00:00"/>
    <n v="1891713"/>
    <n v="67701"/>
    <n v="1824012"/>
    <x v="4"/>
    <x v="0"/>
    <s v="Yes"/>
    <s v="Yes"/>
    <n v="3.5"/>
    <x v="1"/>
    <n v="4"/>
    <s v="April"/>
  </r>
  <r>
    <s v="C0907"/>
    <s v="Rohit Singh"/>
    <n v="58"/>
    <x v="1"/>
    <x v="5"/>
    <s v="Tamil Nadu"/>
    <s v="Mahindra"/>
    <x v="0"/>
    <x v="3"/>
    <x v="1"/>
    <s v="Manual"/>
    <d v="2025-11-07T00:00:00"/>
    <d v="2025-11-17T00:00:00"/>
    <n v="1664437"/>
    <n v="69444"/>
    <n v="1594993"/>
    <x v="3"/>
    <x v="0"/>
    <s v="Yes"/>
    <s v="No"/>
    <n v="3.8"/>
    <x v="2"/>
    <n v="11"/>
    <s v="November"/>
  </r>
  <r>
    <s v="C0908"/>
    <s v="Pooja Das"/>
    <n v="34"/>
    <x v="1"/>
    <x v="0"/>
    <s v="Telangana"/>
    <s v="Mahindra"/>
    <x v="0"/>
    <x v="4"/>
    <x v="0"/>
    <s v="Manual"/>
    <d v="2025-09-11T00:00:00"/>
    <d v="2025-10-06T00:00:00"/>
    <n v="1399616"/>
    <n v="99610"/>
    <n v="1300006"/>
    <x v="4"/>
    <x v="1"/>
    <s v="Yes"/>
    <s v="No"/>
    <n v="3.3"/>
    <x v="0"/>
    <n v="10"/>
    <s v="October"/>
  </r>
  <r>
    <s v="C0909"/>
    <s v="Rohit Singh"/>
    <n v="21"/>
    <x v="1"/>
    <x v="0"/>
    <s v="Telangana"/>
    <s v="Mahindra"/>
    <x v="0"/>
    <x v="3"/>
    <x v="0"/>
    <s v="Automatic"/>
    <d v="2025-03-03T00:00:00"/>
    <d v="2025-04-12T00:00:00"/>
    <n v="1388360"/>
    <n v="87812"/>
    <n v="1300548"/>
    <x v="3"/>
    <x v="4"/>
    <s v="No"/>
    <s v="No"/>
    <n v="4.4000000000000004"/>
    <x v="0"/>
    <n v="4"/>
    <s v="April"/>
  </r>
  <r>
    <s v="C0910"/>
    <s v="Rohit Singh"/>
    <n v="39"/>
    <x v="1"/>
    <x v="0"/>
    <s v="Telangana"/>
    <s v="Mahindra"/>
    <x v="0"/>
    <x v="2"/>
    <x v="1"/>
    <s v="Manual"/>
    <d v="2025-07-29T00:00:00"/>
    <d v="2025-09-11T00:00:00"/>
    <n v="1494881"/>
    <n v="96047"/>
    <n v="1398834"/>
    <x v="1"/>
    <x v="3"/>
    <s v="Yes"/>
    <s v="No"/>
    <n v="4.5"/>
    <x v="0"/>
    <n v="9"/>
    <s v="September"/>
  </r>
  <r>
    <s v="C0911"/>
    <s v="Rahul Sharma"/>
    <n v="42"/>
    <x v="1"/>
    <x v="4"/>
    <s v="Karnataka"/>
    <s v="Mahindra"/>
    <x v="0"/>
    <x v="2"/>
    <x v="1"/>
    <s v="Automatic"/>
    <d v="2025-01-20T00:00:00"/>
    <d v="2025-02-19T00:00:00"/>
    <n v="1313910"/>
    <n v="38110"/>
    <n v="1275800"/>
    <x v="4"/>
    <x v="2"/>
    <s v="No"/>
    <s v="Yes"/>
    <n v="3.5"/>
    <x v="0"/>
    <n v="2"/>
    <s v="February"/>
  </r>
  <r>
    <s v="C0912"/>
    <s v="Pooja Das"/>
    <n v="43"/>
    <x v="0"/>
    <x v="4"/>
    <s v="Karnataka"/>
    <s v="Mahindra"/>
    <x v="1"/>
    <x v="2"/>
    <x v="1"/>
    <s v="Manual"/>
    <d v="2026-05-06T00:00:00"/>
    <d v="2026-06-06T00:00:00"/>
    <n v="1371251"/>
    <n v="66254"/>
    <n v="1304997"/>
    <x v="2"/>
    <x v="2"/>
    <s v="No"/>
    <s v="Yes"/>
    <n v="4.5999999999999996"/>
    <x v="0"/>
    <n v="6"/>
    <s v="June"/>
  </r>
  <r>
    <s v="C0913"/>
    <s v="Priya Nair"/>
    <n v="31"/>
    <x v="1"/>
    <x v="0"/>
    <s v="Telangana"/>
    <s v="Mahindra"/>
    <x v="0"/>
    <x v="1"/>
    <x v="0"/>
    <s v="Manual"/>
    <d v="2025-02-12T00:00:00"/>
    <d v="2025-03-01T00:00:00"/>
    <n v="1798253"/>
    <n v="35428"/>
    <n v="1762825"/>
    <x v="3"/>
    <x v="4"/>
    <s v="Yes"/>
    <s v="No"/>
    <n v="4.5"/>
    <x v="1"/>
    <n v="3"/>
    <s v="March"/>
  </r>
  <r>
    <s v="C0914"/>
    <s v="Anjali Verma"/>
    <n v="60"/>
    <x v="0"/>
    <x v="4"/>
    <s v="Karnataka"/>
    <s v="Mahindra"/>
    <x v="0"/>
    <x v="3"/>
    <x v="1"/>
    <s v="Manual"/>
    <d v="2025-07-20T00:00:00"/>
    <d v="2025-07-31T00:00:00"/>
    <n v="1628789"/>
    <n v="66283"/>
    <n v="1562506"/>
    <x v="1"/>
    <x v="1"/>
    <s v="Yes"/>
    <s v="No"/>
    <n v="3.8"/>
    <x v="1"/>
    <n v="7"/>
    <s v="July"/>
  </r>
  <r>
    <s v="C0915"/>
    <s v="Karthik S"/>
    <n v="32"/>
    <x v="1"/>
    <x v="0"/>
    <s v="Telangana"/>
    <s v="Mahindra"/>
    <x v="2"/>
    <x v="3"/>
    <x v="1"/>
    <s v="Manual"/>
    <d v="2025-10-11T00:00:00"/>
    <d v="2025-11-12T00:00:00"/>
    <n v="1357807"/>
    <n v="69844"/>
    <n v="1287963"/>
    <x v="1"/>
    <x v="0"/>
    <s v="Yes"/>
    <s v="No"/>
    <n v="4.7"/>
    <x v="0"/>
    <n v="11"/>
    <s v="November"/>
  </r>
  <r>
    <s v="C0916"/>
    <s v="Pooja Das"/>
    <n v="55"/>
    <x v="0"/>
    <x v="2"/>
    <s v="Tamil Nadu"/>
    <s v="Mahindra"/>
    <x v="0"/>
    <x v="1"/>
    <x v="0"/>
    <s v="Automatic"/>
    <d v="2026-04-09T00:00:00"/>
    <d v="2026-05-11T00:00:00"/>
    <n v="1597255"/>
    <n v="86493"/>
    <n v="1510762"/>
    <x v="4"/>
    <x v="3"/>
    <s v="No"/>
    <s v="Yes"/>
    <n v="3.4"/>
    <x v="0"/>
    <n v="5"/>
    <s v="May"/>
  </r>
  <r>
    <s v="C0917"/>
    <s v="Meera Iyer"/>
    <n v="34"/>
    <x v="1"/>
    <x v="2"/>
    <s v="Tamil Nadu"/>
    <s v="Mahindra"/>
    <x v="1"/>
    <x v="2"/>
    <x v="0"/>
    <s v="Automatic"/>
    <d v="2025-10-23T00:00:00"/>
    <d v="2025-11-04T00:00:00"/>
    <n v="1811920"/>
    <n v="37670"/>
    <n v="1774250"/>
    <x v="1"/>
    <x v="4"/>
    <s v="No"/>
    <s v="Yes"/>
    <n v="4.4000000000000004"/>
    <x v="1"/>
    <n v="11"/>
    <s v="November"/>
  </r>
  <r>
    <s v="C0918"/>
    <s v="Rohit Singh"/>
    <n v="31"/>
    <x v="0"/>
    <x v="2"/>
    <s v="Tamil Nadu"/>
    <s v="Mahindra"/>
    <x v="2"/>
    <x v="4"/>
    <x v="0"/>
    <s v="Manual"/>
    <d v="2026-01-03T00:00:00"/>
    <d v="2026-02-11T00:00:00"/>
    <n v="1807561"/>
    <n v="31136"/>
    <n v="1776425"/>
    <x v="2"/>
    <x v="0"/>
    <s v="No"/>
    <s v="Yes"/>
    <n v="4.2"/>
    <x v="0"/>
    <n v="2"/>
    <s v="February"/>
  </r>
  <r>
    <s v="C0919"/>
    <s v="Sneha Patel"/>
    <n v="35"/>
    <x v="0"/>
    <x v="3"/>
    <s v="Maharashtra"/>
    <s v="Mahindra"/>
    <x v="0"/>
    <x v="4"/>
    <x v="1"/>
    <s v="Manual"/>
    <d v="2025-05-19T00:00:00"/>
    <d v="2025-07-01T00:00:00"/>
    <n v="1788992"/>
    <n v="73175"/>
    <n v="1715817"/>
    <x v="4"/>
    <x v="1"/>
    <s v="Yes"/>
    <s v="No"/>
    <n v="4"/>
    <x v="0"/>
    <n v="7"/>
    <s v="July"/>
  </r>
  <r>
    <s v="C0920"/>
    <s v="Arjun Kumar"/>
    <n v="27"/>
    <x v="0"/>
    <x v="1"/>
    <s v="Tamil Nadu"/>
    <s v="Mahindra"/>
    <x v="0"/>
    <x v="0"/>
    <x v="0"/>
    <s v="Automatic"/>
    <d v="2025-12-23T00:00:00"/>
    <d v="2026-01-24T00:00:00"/>
    <n v="1655100"/>
    <n v="93361"/>
    <n v="1561739"/>
    <x v="1"/>
    <x v="4"/>
    <s v="No"/>
    <s v="Yes"/>
    <n v="4.4000000000000004"/>
    <x v="0"/>
    <n v="1"/>
    <s v="January"/>
  </r>
  <r>
    <s v="C0921"/>
    <s v="Priya Nair"/>
    <n v="27"/>
    <x v="1"/>
    <x v="3"/>
    <s v="Maharashtra"/>
    <s v="Mahindra"/>
    <x v="2"/>
    <x v="2"/>
    <x v="0"/>
    <s v="Automatic"/>
    <d v="2025-04-12T00:00:00"/>
    <d v="2025-05-19T00:00:00"/>
    <n v="1518083"/>
    <n v="72856"/>
    <n v="1445227"/>
    <x v="1"/>
    <x v="4"/>
    <s v="Yes"/>
    <s v="Yes"/>
    <n v="4.4000000000000004"/>
    <x v="0"/>
    <n v="5"/>
    <s v="May"/>
  </r>
  <r>
    <s v="C0922"/>
    <s v="Meera Iyer"/>
    <n v="21"/>
    <x v="1"/>
    <x v="1"/>
    <s v="Tamil Nadu"/>
    <s v="Mahindra"/>
    <x v="0"/>
    <x v="0"/>
    <x v="1"/>
    <s v="Manual"/>
    <d v="2025-10-05T00:00:00"/>
    <d v="2025-11-15T00:00:00"/>
    <n v="1853777"/>
    <n v="90919"/>
    <n v="1762858"/>
    <x v="1"/>
    <x v="1"/>
    <s v="No"/>
    <s v="Yes"/>
    <n v="4.8"/>
    <x v="0"/>
    <n v="11"/>
    <s v="November"/>
  </r>
  <r>
    <s v="C0923"/>
    <s v="Sneha Patel"/>
    <n v="37"/>
    <x v="1"/>
    <x v="1"/>
    <s v="Tamil Nadu"/>
    <s v="Mahindra"/>
    <x v="1"/>
    <x v="4"/>
    <x v="0"/>
    <s v="Manual"/>
    <d v="2025-03-18T00:00:00"/>
    <d v="2025-05-01T00:00:00"/>
    <n v="1713231"/>
    <n v="56932"/>
    <n v="1656299"/>
    <x v="0"/>
    <x v="2"/>
    <s v="No"/>
    <s v="Yes"/>
    <n v="4.4000000000000004"/>
    <x v="0"/>
    <n v="5"/>
    <s v="May"/>
  </r>
  <r>
    <s v="C0924"/>
    <s v="Vikram Rao"/>
    <n v="21"/>
    <x v="0"/>
    <x v="4"/>
    <s v="Karnataka"/>
    <s v="Mahindra"/>
    <x v="2"/>
    <x v="0"/>
    <x v="1"/>
    <s v="Manual"/>
    <d v="2026-05-21T00:00:00"/>
    <d v="2026-06-19T00:00:00"/>
    <n v="1682761"/>
    <n v="94282"/>
    <n v="1588479"/>
    <x v="2"/>
    <x v="4"/>
    <s v="Yes"/>
    <s v="Yes"/>
    <n v="4.0999999999999996"/>
    <x v="0"/>
    <n v="6"/>
    <s v="June"/>
  </r>
  <r>
    <s v="C0925"/>
    <s v="Sneha Patel"/>
    <n v="30"/>
    <x v="0"/>
    <x v="3"/>
    <s v="Maharashtra"/>
    <s v="Mahindra"/>
    <x v="2"/>
    <x v="3"/>
    <x v="1"/>
    <s v="Manual"/>
    <d v="2026-05-16T00:00:00"/>
    <d v="2026-05-25T00:00:00"/>
    <n v="1720920"/>
    <n v="51463"/>
    <n v="1669457"/>
    <x v="0"/>
    <x v="1"/>
    <s v="No"/>
    <s v="Yes"/>
    <n v="3.3"/>
    <x v="2"/>
    <n v="5"/>
    <s v="May"/>
  </r>
  <r>
    <s v="C0926"/>
    <s v="Sneha Patel"/>
    <n v="23"/>
    <x v="1"/>
    <x v="2"/>
    <s v="Tamil Nadu"/>
    <s v="Mahindra"/>
    <x v="1"/>
    <x v="2"/>
    <x v="0"/>
    <s v="Automatic"/>
    <d v="2025-06-17T00:00:00"/>
    <d v="2025-07-20T00:00:00"/>
    <n v="1456079"/>
    <n v="64891"/>
    <n v="1391188"/>
    <x v="0"/>
    <x v="0"/>
    <s v="Yes"/>
    <s v="Yes"/>
    <n v="3.7"/>
    <x v="0"/>
    <n v="7"/>
    <s v="July"/>
  </r>
  <r>
    <s v="C0927"/>
    <s v="Karthik S"/>
    <n v="44"/>
    <x v="1"/>
    <x v="4"/>
    <s v="Karnataka"/>
    <s v="Mahindra"/>
    <x v="1"/>
    <x v="0"/>
    <x v="1"/>
    <s v="Automatic"/>
    <d v="2025-02-21T00:00:00"/>
    <d v="2025-04-01T00:00:00"/>
    <n v="1815587"/>
    <n v="31433"/>
    <n v="1784154"/>
    <x v="1"/>
    <x v="0"/>
    <s v="No"/>
    <s v="No"/>
    <n v="4.9000000000000004"/>
    <x v="0"/>
    <n v="4"/>
    <s v="April"/>
  </r>
  <r>
    <s v="C0928"/>
    <s v="Priya Nair"/>
    <n v="51"/>
    <x v="1"/>
    <x v="1"/>
    <s v="Tamil Nadu"/>
    <s v="Mahindra"/>
    <x v="0"/>
    <x v="3"/>
    <x v="0"/>
    <s v="Automatic"/>
    <d v="2026-05-18T00:00:00"/>
    <d v="2026-06-30T00:00:00"/>
    <n v="1617532"/>
    <n v="86980"/>
    <n v="1530552"/>
    <x v="1"/>
    <x v="0"/>
    <s v="No"/>
    <s v="Yes"/>
    <n v="4.0999999999999996"/>
    <x v="0"/>
    <n v="6"/>
    <s v="June"/>
  </r>
  <r>
    <s v="C0929"/>
    <s v="Pooja Das"/>
    <n v="39"/>
    <x v="1"/>
    <x v="0"/>
    <s v="Telangana"/>
    <s v="Mahindra"/>
    <x v="1"/>
    <x v="4"/>
    <x v="0"/>
    <s v="Manual"/>
    <d v="2025-05-26T00:00:00"/>
    <d v="2025-06-05T00:00:00"/>
    <n v="1545023"/>
    <n v="20765"/>
    <n v="1524258"/>
    <x v="2"/>
    <x v="2"/>
    <s v="No"/>
    <s v="Yes"/>
    <n v="4.2"/>
    <x v="2"/>
    <n v="6"/>
    <s v="June"/>
  </r>
  <r>
    <s v="C0930"/>
    <s v="Rohit Singh"/>
    <n v="55"/>
    <x v="0"/>
    <x v="5"/>
    <s v="Tamil Nadu"/>
    <s v="Mahindra"/>
    <x v="2"/>
    <x v="1"/>
    <x v="0"/>
    <s v="Automatic"/>
    <d v="2025-11-18T00:00:00"/>
    <d v="2025-12-05T00:00:00"/>
    <n v="1681678"/>
    <n v="64830"/>
    <n v="1616848"/>
    <x v="1"/>
    <x v="4"/>
    <s v="No"/>
    <s v="Yes"/>
    <n v="4.5999999999999996"/>
    <x v="1"/>
    <n v="12"/>
    <s v="December"/>
  </r>
  <r>
    <s v="C0931"/>
    <s v="Anjali Verma"/>
    <n v="49"/>
    <x v="0"/>
    <x v="0"/>
    <s v="Telangana"/>
    <s v="Mahindra"/>
    <x v="0"/>
    <x v="4"/>
    <x v="0"/>
    <s v="Manual"/>
    <d v="2025-08-13T00:00:00"/>
    <d v="2025-09-15T00:00:00"/>
    <n v="1762607"/>
    <n v="67800"/>
    <n v="1694807"/>
    <x v="0"/>
    <x v="0"/>
    <s v="No"/>
    <s v="No"/>
    <n v="4.5"/>
    <x v="0"/>
    <n v="9"/>
    <s v="September"/>
  </r>
  <r>
    <s v="C0932"/>
    <s v="Arjun Kumar"/>
    <n v="28"/>
    <x v="1"/>
    <x v="3"/>
    <s v="Maharashtra"/>
    <s v="Mahindra"/>
    <x v="1"/>
    <x v="2"/>
    <x v="1"/>
    <s v="Automatic"/>
    <d v="2026-06-25T00:00:00"/>
    <d v="2026-07-25T00:00:00"/>
    <n v="1336954"/>
    <n v="34050"/>
    <n v="1302904"/>
    <x v="3"/>
    <x v="1"/>
    <s v="No"/>
    <s v="No"/>
    <n v="3.2"/>
    <x v="0"/>
    <n v="7"/>
    <s v="July"/>
  </r>
  <r>
    <s v="C0933"/>
    <s v="Rohit Singh"/>
    <n v="29"/>
    <x v="0"/>
    <x v="2"/>
    <s v="Tamil Nadu"/>
    <s v="Mahindra"/>
    <x v="0"/>
    <x v="1"/>
    <x v="1"/>
    <s v="Manual"/>
    <d v="2025-02-09T00:00:00"/>
    <d v="2025-03-26T00:00:00"/>
    <n v="1327949"/>
    <n v="26370"/>
    <n v="1301579"/>
    <x v="3"/>
    <x v="1"/>
    <s v="Yes"/>
    <s v="No"/>
    <n v="3.9"/>
    <x v="0"/>
    <n v="3"/>
    <s v="March"/>
  </r>
  <r>
    <s v="C0934"/>
    <s v="Rahul Sharma"/>
    <n v="36"/>
    <x v="1"/>
    <x v="2"/>
    <s v="Tamil Nadu"/>
    <s v="Mahindra"/>
    <x v="2"/>
    <x v="0"/>
    <x v="0"/>
    <s v="Automatic"/>
    <d v="2026-04-01T00:00:00"/>
    <d v="2026-04-20T00:00:00"/>
    <n v="1517528"/>
    <n v="23913"/>
    <n v="1493615"/>
    <x v="4"/>
    <x v="1"/>
    <s v="No"/>
    <s v="No"/>
    <n v="4.7"/>
    <x v="1"/>
    <n v="4"/>
    <s v="April"/>
  </r>
  <r>
    <s v="C0935"/>
    <s v="Sneha Patel"/>
    <n v="59"/>
    <x v="1"/>
    <x v="1"/>
    <s v="Tamil Nadu"/>
    <s v="Mahindra"/>
    <x v="0"/>
    <x v="1"/>
    <x v="0"/>
    <s v="Automatic"/>
    <d v="2026-05-12T00:00:00"/>
    <d v="2026-05-22T00:00:00"/>
    <n v="1437912"/>
    <n v="89361"/>
    <n v="1348551"/>
    <x v="4"/>
    <x v="2"/>
    <s v="No"/>
    <s v="Yes"/>
    <n v="4.7"/>
    <x v="2"/>
    <n v="5"/>
    <s v="May"/>
  </r>
  <r>
    <s v="C0936"/>
    <s v="Anjali Verma"/>
    <n v="50"/>
    <x v="1"/>
    <x v="2"/>
    <s v="Tamil Nadu"/>
    <s v="Mahindra"/>
    <x v="0"/>
    <x v="2"/>
    <x v="1"/>
    <s v="Automatic"/>
    <d v="2025-09-28T00:00:00"/>
    <d v="2025-11-01T00:00:00"/>
    <n v="1502301"/>
    <n v="10673"/>
    <n v="1491628"/>
    <x v="4"/>
    <x v="2"/>
    <s v="No"/>
    <s v="Yes"/>
    <n v="4.0999999999999996"/>
    <x v="0"/>
    <n v="11"/>
    <s v="November"/>
  </r>
  <r>
    <s v="C0937"/>
    <s v="Arjun Kumar"/>
    <n v="42"/>
    <x v="1"/>
    <x v="5"/>
    <s v="Tamil Nadu"/>
    <s v="Mahindra"/>
    <x v="1"/>
    <x v="2"/>
    <x v="0"/>
    <s v="Automatic"/>
    <d v="2025-07-27T00:00:00"/>
    <d v="2025-08-13T00:00:00"/>
    <n v="1320137"/>
    <n v="94233"/>
    <n v="1225904"/>
    <x v="4"/>
    <x v="4"/>
    <s v="No"/>
    <s v="Yes"/>
    <n v="3.1"/>
    <x v="1"/>
    <n v="8"/>
    <s v="August"/>
  </r>
  <r>
    <s v="C0938"/>
    <s v="Vikram Rao"/>
    <n v="22"/>
    <x v="1"/>
    <x v="1"/>
    <s v="Tamil Nadu"/>
    <s v="Mahindra"/>
    <x v="1"/>
    <x v="1"/>
    <x v="0"/>
    <s v="Manual"/>
    <d v="2025-05-20T00:00:00"/>
    <d v="2025-06-16T00:00:00"/>
    <n v="1765727"/>
    <n v="10288"/>
    <n v="1755439"/>
    <x v="0"/>
    <x v="3"/>
    <s v="Yes"/>
    <s v="No"/>
    <n v="3.5"/>
    <x v="0"/>
    <n v="6"/>
    <s v="June"/>
  </r>
  <r>
    <s v="C0939"/>
    <s v="Karthik S"/>
    <n v="25"/>
    <x v="1"/>
    <x v="4"/>
    <s v="Karnataka"/>
    <s v="Mahindra"/>
    <x v="1"/>
    <x v="1"/>
    <x v="1"/>
    <s v="Manual"/>
    <d v="2025-10-19T00:00:00"/>
    <d v="2025-11-26T00:00:00"/>
    <n v="1542705"/>
    <n v="19593"/>
    <n v="1523112"/>
    <x v="1"/>
    <x v="4"/>
    <s v="No"/>
    <s v="No"/>
    <n v="4.2"/>
    <x v="0"/>
    <n v="11"/>
    <s v="November"/>
  </r>
  <r>
    <s v="C0940"/>
    <s v="Vikram Rao"/>
    <n v="52"/>
    <x v="0"/>
    <x v="0"/>
    <s v="Telangana"/>
    <s v="Mahindra"/>
    <x v="1"/>
    <x v="0"/>
    <x v="1"/>
    <s v="Manual"/>
    <d v="2026-02-11T00:00:00"/>
    <d v="2026-03-21T00:00:00"/>
    <n v="1670199"/>
    <n v="34369"/>
    <n v="1635830"/>
    <x v="2"/>
    <x v="4"/>
    <s v="No"/>
    <s v="No"/>
    <n v="4.5999999999999996"/>
    <x v="0"/>
    <n v="3"/>
    <s v="March"/>
  </r>
  <r>
    <s v="C0941"/>
    <s v="Priya Nair"/>
    <n v="37"/>
    <x v="1"/>
    <x v="4"/>
    <s v="Karnataka"/>
    <s v="Mahindra"/>
    <x v="0"/>
    <x v="3"/>
    <x v="1"/>
    <s v="Automatic"/>
    <d v="2025-03-11T00:00:00"/>
    <d v="2025-04-23T00:00:00"/>
    <n v="1786256"/>
    <n v="83916"/>
    <n v="1702340"/>
    <x v="2"/>
    <x v="0"/>
    <s v="Yes"/>
    <s v="No"/>
    <n v="4.9000000000000004"/>
    <x v="0"/>
    <n v="4"/>
    <s v="April"/>
  </r>
  <r>
    <s v="C0942"/>
    <s v="Rahul Sharma"/>
    <n v="30"/>
    <x v="1"/>
    <x v="3"/>
    <s v="Maharashtra"/>
    <s v="Mahindra"/>
    <x v="0"/>
    <x v="3"/>
    <x v="0"/>
    <s v="Manual"/>
    <d v="2025-06-28T00:00:00"/>
    <d v="2025-07-24T00:00:00"/>
    <n v="1845569"/>
    <n v="81263"/>
    <n v="1764306"/>
    <x v="1"/>
    <x v="1"/>
    <s v="Yes"/>
    <s v="No"/>
    <n v="3.2"/>
    <x v="0"/>
    <n v="7"/>
    <s v="July"/>
  </r>
  <r>
    <s v="C0943"/>
    <s v="Vikram Rao"/>
    <n v="40"/>
    <x v="0"/>
    <x v="4"/>
    <s v="Karnataka"/>
    <s v="Mahindra"/>
    <x v="0"/>
    <x v="4"/>
    <x v="0"/>
    <s v="Automatic"/>
    <d v="2026-04-10T00:00:00"/>
    <d v="2026-04-17T00:00:00"/>
    <n v="1861288"/>
    <n v="24773"/>
    <n v="1836515"/>
    <x v="1"/>
    <x v="1"/>
    <s v="Yes"/>
    <s v="Yes"/>
    <n v="4.7"/>
    <x v="2"/>
    <n v="4"/>
    <s v="April"/>
  </r>
  <r>
    <s v="C0944"/>
    <s v="Meera Iyer"/>
    <n v="39"/>
    <x v="0"/>
    <x v="3"/>
    <s v="Maharashtra"/>
    <s v="Mahindra"/>
    <x v="0"/>
    <x v="2"/>
    <x v="1"/>
    <s v="Automatic"/>
    <d v="2025-11-21T00:00:00"/>
    <d v="2025-12-26T00:00:00"/>
    <n v="1888199"/>
    <n v="22137"/>
    <n v="1866062"/>
    <x v="0"/>
    <x v="4"/>
    <s v="Yes"/>
    <s v="Yes"/>
    <n v="3.9"/>
    <x v="0"/>
    <n v="12"/>
    <s v="December"/>
  </r>
  <r>
    <s v="C0945"/>
    <s v="Anjali Verma"/>
    <n v="38"/>
    <x v="1"/>
    <x v="4"/>
    <s v="Karnataka"/>
    <s v="Mahindra"/>
    <x v="0"/>
    <x v="2"/>
    <x v="1"/>
    <s v="Manual"/>
    <d v="2025-11-12T00:00:00"/>
    <d v="2025-11-24T00:00:00"/>
    <n v="1890804"/>
    <n v="49083"/>
    <n v="1841721"/>
    <x v="1"/>
    <x v="1"/>
    <s v="No"/>
    <s v="Yes"/>
    <n v="4.3"/>
    <x v="1"/>
    <n v="11"/>
    <s v="November"/>
  </r>
  <r>
    <s v="C0946"/>
    <s v="Arjun Kumar"/>
    <n v="49"/>
    <x v="0"/>
    <x v="1"/>
    <s v="Tamil Nadu"/>
    <s v="Mahindra"/>
    <x v="1"/>
    <x v="2"/>
    <x v="1"/>
    <s v="Manual"/>
    <d v="2025-09-24T00:00:00"/>
    <d v="2025-10-10T00:00:00"/>
    <n v="1601645"/>
    <n v="51749"/>
    <n v="1549896"/>
    <x v="4"/>
    <x v="1"/>
    <s v="No"/>
    <s v="No"/>
    <n v="4.0999999999999996"/>
    <x v="1"/>
    <n v="10"/>
    <s v="October"/>
  </r>
  <r>
    <s v="C0947"/>
    <s v="Vikram Rao"/>
    <n v="43"/>
    <x v="0"/>
    <x v="3"/>
    <s v="Maharashtra"/>
    <s v="Mahindra"/>
    <x v="1"/>
    <x v="1"/>
    <x v="0"/>
    <s v="Manual"/>
    <d v="2025-10-13T00:00:00"/>
    <d v="2025-11-07T00:00:00"/>
    <n v="1304729"/>
    <n v="99586"/>
    <n v="1205143"/>
    <x v="2"/>
    <x v="3"/>
    <s v="No"/>
    <s v="No"/>
    <n v="4.5999999999999996"/>
    <x v="0"/>
    <n v="11"/>
    <s v="November"/>
  </r>
  <r>
    <s v="C0948"/>
    <s v="Karthik S"/>
    <n v="28"/>
    <x v="1"/>
    <x v="2"/>
    <s v="Tamil Nadu"/>
    <s v="Mahindra"/>
    <x v="1"/>
    <x v="2"/>
    <x v="1"/>
    <s v="Automatic"/>
    <d v="2025-06-02T00:00:00"/>
    <d v="2025-07-04T00:00:00"/>
    <n v="1705980"/>
    <n v="94731"/>
    <n v="1611249"/>
    <x v="2"/>
    <x v="2"/>
    <s v="No"/>
    <s v="Yes"/>
    <n v="3"/>
    <x v="0"/>
    <n v="7"/>
    <s v="July"/>
  </r>
  <r>
    <s v="C0949"/>
    <s v="Rohit Singh"/>
    <n v="31"/>
    <x v="0"/>
    <x v="3"/>
    <s v="Maharashtra"/>
    <s v="Mahindra"/>
    <x v="2"/>
    <x v="1"/>
    <x v="0"/>
    <s v="Manual"/>
    <d v="2025-09-25T00:00:00"/>
    <d v="2025-11-09T00:00:00"/>
    <n v="1717858"/>
    <n v="75345"/>
    <n v="1642513"/>
    <x v="0"/>
    <x v="4"/>
    <s v="No"/>
    <s v="No"/>
    <n v="3"/>
    <x v="0"/>
    <n v="11"/>
    <s v="November"/>
  </r>
  <r>
    <s v="C0950"/>
    <s v="Vikram Rao"/>
    <n v="43"/>
    <x v="1"/>
    <x v="1"/>
    <s v="Tamil Nadu"/>
    <s v="Mahindra"/>
    <x v="2"/>
    <x v="0"/>
    <x v="1"/>
    <s v="Automatic"/>
    <d v="2025-01-15T00:00:00"/>
    <d v="2025-02-13T00:00:00"/>
    <n v="1779517"/>
    <n v="67394"/>
    <n v="1712123"/>
    <x v="2"/>
    <x v="0"/>
    <s v="No"/>
    <s v="No"/>
    <n v="4.8"/>
    <x v="0"/>
    <n v="2"/>
    <s v="February"/>
  </r>
  <r>
    <s v="C0951"/>
    <s v="Karthik S"/>
    <n v="44"/>
    <x v="0"/>
    <x v="5"/>
    <s v="Tamil Nadu"/>
    <s v="Mahindra"/>
    <x v="2"/>
    <x v="4"/>
    <x v="0"/>
    <s v="Manual"/>
    <d v="2025-03-29T00:00:00"/>
    <d v="2025-04-18T00:00:00"/>
    <n v="1732544"/>
    <n v="60887"/>
    <n v="1671657"/>
    <x v="4"/>
    <x v="4"/>
    <s v="No"/>
    <s v="Yes"/>
    <n v="4.5"/>
    <x v="1"/>
    <n v="4"/>
    <s v="April"/>
  </r>
  <r>
    <s v="C0952"/>
    <s v="Vikram Rao"/>
    <n v="60"/>
    <x v="1"/>
    <x v="5"/>
    <s v="Tamil Nadu"/>
    <s v="Mahindra"/>
    <x v="1"/>
    <x v="3"/>
    <x v="0"/>
    <s v="Automatic"/>
    <d v="2025-12-15T00:00:00"/>
    <d v="2026-01-07T00:00:00"/>
    <n v="1820736"/>
    <n v="66715"/>
    <n v="1754021"/>
    <x v="1"/>
    <x v="1"/>
    <s v="Yes"/>
    <s v="Yes"/>
    <n v="4.4000000000000004"/>
    <x v="0"/>
    <n v="1"/>
    <s v="January"/>
  </r>
  <r>
    <s v="C0953"/>
    <s v="Priya Nair"/>
    <n v="41"/>
    <x v="1"/>
    <x v="2"/>
    <s v="Tamil Nadu"/>
    <s v="Mahindra"/>
    <x v="0"/>
    <x v="2"/>
    <x v="1"/>
    <s v="Automatic"/>
    <d v="2025-04-10T00:00:00"/>
    <d v="2025-05-19T00:00:00"/>
    <n v="1721559"/>
    <n v="41757"/>
    <n v="1679802"/>
    <x v="3"/>
    <x v="3"/>
    <s v="Yes"/>
    <s v="No"/>
    <n v="4.8"/>
    <x v="0"/>
    <n v="5"/>
    <s v="May"/>
  </r>
  <r>
    <s v="C0954"/>
    <s v="Arjun Kumar"/>
    <n v="33"/>
    <x v="0"/>
    <x v="3"/>
    <s v="Maharashtra"/>
    <s v="Mahindra"/>
    <x v="1"/>
    <x v="4"/>
    <x v="0"/>
    <s v="Automatic"/>
    <d v="2025-03-29T00:00:00"/>
    <d v="2025-04-28T00:00:00"/>
    <n v="1643569"/>
    <n v="75600"/>
    <n v="1567969"/>
    <x v="0"/>
    <x v="0"/>
    <s v="Yes"/>
    <s v="No"/>
    <n v="3.6"/>
    <x v="0"/>
    <n v="4"/>
    <s v="April"/>
  </r>
  <r>
    <s v="C0955"/>
    <s v="Arjun Kumar"/>
    <n v="41"/>
    <x v="0"/>
    <x v="2"/>
    <s v="Tamil Nadu"/>
    <s v="Mahindra"/>
    <x v="0"/>
    <x v="4"/>
    <x v="0"/>
    <s v="Manual"/>
    <d v="2025-01-21T00:00:00"/>
    <d v="2025-02-03T00:00:00"/>
    <n v="1887540"/>
    <n v="38739"/>
    <n v="1848801"/>
    <x v="1"/>
    <x v="3"/>
    <s v="Yes"/>
    <s v="No"/>
    <n v="3.5"/>
    <x v="1"/>
    <n v="2"/>
    <s v="February"/>
  </r>
  <r>
    <s v="C0956"/>
    <s v="Pooja Das"/>
    <n v="44"/>
    <x v="0"/>
    <x v="1"/>
    <s v="Tamil Nadu"/>
    <s v="Mahindra"/>
    <x v="0"/>
    <x v="4"/>
    <x v="1"/>
    <s v="Manual"/>
    <d v="2026-03-26T00:00:00"/>
    <d v="2026-04-27T00:00:00"/>
    <n v="1512319"/>
    <n v="23541"/>
    <n v="1488778"/>
    <x v="2"/>
    <x v="3"/>
    <s v="Yes"/>
    <s v="No"/>
    <n v="4.9000000000000004"/>
    <x v="0"/>
    <n v="4"/>
    <s v="April"/>
  </r>
  <r>
    <s v="C0957"/>
    <s v="Karthik S"/>
    <n v="41"/>
    <x v="1"/>
    <x v="3"/>
    <s v="Maharashtra"/>
    <s v="Mahindra"/>
    <x v="1"/>
    <x v="4"/>
    <x v="0"/>
    <s v="Manual"/>
    <d v="2025-08-28T00:00:00"/>
    <d v="2025-09-13T00:00:00"/>
    <n v="1448461"/>
    <n v="77707"/>
    <n v="1370754"/>
    <x v="4"/>
    <x v="0"/>
    <s v="No"/>
    <s v="Yes"/>
    <n v="3.4"/>
    <x v="1"/>
    <n v="9"/>
    <s v="September"/>
  </r>
  <r>
    <s v="C0958"/>
    <s v="Rohit Singh"/>
    <n v="60"/>
    <x v="0"/>
    <x v="4"/>
    <s v="Karnataka"/>
    <s v="Mahindra"/>
    <x v="2"/>
    <x v="2"/>
    <x v="1"/>
    <s v="Manual"/>
    <d v="2025-06-29T00:00:00"/>
    <d v="2025-07-31T00:00:00"/>
    <n v="1403516"/>
    <n v="93969"/>
    <n v="1309547"/>
    <x v="3"/>
    <x v="4"/>
    <s v="Yes"/>
    <s v="Yes"/>
    <n v="3.4"/>
    <x v="0"/>
    <n v="7"/>
    <s v="July"/>
  </r>
  <r>
    <s v="C0959"/>
    <s v="Rohit Singh"/>
    <n v="35"/>
    <x v="1"/>
    <x v="1"/>
    <s v="Tamil Nadu"/>
    <s v="Mahindra"/>
    <x v="1"/>
    <x v="2"/>
    <x v="1"/>
    <s v="Automatic"/>
    <d v="2026-05-20T00:00:00"/>
    <d v="2026-06-12T00:00:00"/>
    <n v="1306328"/>
    <n v="40906"/>
    <n v="1265422"/>
    <x v="1"/>
    <x v="0"/>
    <s v="Yes"/>
    <s v="No"/>
    <n v="4.4000000000000004"/>
    <x v="0"/>
    <n v="6"/>
    <s v="June"/>
  </r>
  <r>
    <s v="C0960"/>
    <s v="Rohit Singh"/>
    <n v="36"/>
    <x v="0"/>
    <x v="5"/>
    <s v="Tamil Nadu"/>
    <s v="Mahindra"/>
    <x v="1"/>
    <x v="1"/>
    <x v="0"/>
    <s v="Automatic"/>
    <d v="2025-10-30T00:00:00"/>
    <d v="2025-12-13T00:00:00"/>
    <n v="1826725"/>
    <n v="89316"/>
    <n v="1737409"/>
    <x v="1"/>
    <x v="1"/>
    <s v="No"/>
    <s v="No"/>
    <n v="4.5999999999999996"/>
    <x v="0"/>
    <n v="12"/>
    <s v="December"/>
  </r>
  <r>
    <s v="C0961"/>
    <s v="Sneha Patel"/>
    <n v="28"/>
    <x v="1"/>
    <x v="3"/>
    <s v="Maharashtra"/>
    <s v="Mahindra"/>
    <x v="1"/>
    <x v="0"/>
    <x v="0"/>
    <s v="Automatic"/>
    <d v="2026-05-04T00:00:00"/>
    <d v="2026-05-11T00:00:00"/>
    <n v="1423602"/>
    <n v="70085"/>
    <n v="1353517"/>
    <x v="1"/>
    <x v="0"/>
    <s v="No"/>
    <s v="Yes"/>
    <n v="4.5"/>
    <x v="2"/>
    <n v="5"/>
    <s v="May"/>
  </r>
  <r>
    <s v="C0962"/>
    <s v="Anjali Verma"/>
    <n v="51"/>
    <x v="0"/>
    <x v="1"/>
    <s v="Tamil Nadu"/>
    <s v="Mahindra"/>
    <x v="1"/>
    <x v="0"/>
    <x v="0"/>
    <s v="Automatic"/>
    <d v="2026-03-14T00:00:00"/>
    <d v="2026-04-11T00:00:00"/>
    <n v="1385824"/>
    <n v="15967"/>
    <n v="1369857"/>
    <x v="1"/>
    <x v="2"/>
    <s v="No"/>
    <s v="Yes"/>
    <n v="4.7"/>
    <x v="0"/>
    <n v="4"/>
    <s v="April"/>
  </r>
  <r>
    <s v="C0963"/>
    <s v="Arjun Kumar"/>
    <n v="43"/>
    <x v="1"/>
    <x v="0"/>
    <s v="Telangana"/>
    <s v="Mahindra"/>
    <x v="0"/>
    <x v="4"/>
    <x v="1"/>
    <s v="Automatic"/>
    <d v="2026-04-22T00:00:00"/>
    <d v="2026-05-12T00:00:00"/>
    <n v="1563100"/>
    <n v="52333"/>
    <n v="1510767"/>
    <x v="2"/>
    <x v="1"/>
    <s v="No"/>
    <s v="Yes"/>
    <n v="4.5999999999999996"/>
    <x v="1"/>
    <n v="5"/>
    <s v="May"/>
  </r>
  <r>
    <s v="C0964"/>
    <s v="Pooja Das"/>
    <n v="34"/>
    <x v="0"/>
    <x v="3"/>
    <s v="Maharashtra"/>
    <s v="Mahindra"/>
    <x v="0"/>
    <x v="1"/>
    <x v="1"/>
    <s v="Manual"/>
    <d v="2025-01-31T00:00:00"/>
    <d v="2025-03-12T00:00:00"/>
    <n v="1563866"/>
    <n v="22021"/>
    <n v="1541845"/>
    <x v="2"/>
    <x v="1"/>
    <s v="No"/>
    <s v="Yes"/>
    <n v="3.9"/>
    <x v="0"/>
    <n v="3"/>
    <s v="March"/>
  </r>
  <r>
    <s v="C0965"/>
    <s v="Pooja Das"/>
    <n v="37"/>
    <x v="1"/>
    <x v="2"/>
    <s v="Tamil Nadu"/>
    <s v="Mahindra"/>
    <x v="0"/>
    <x v="1"/>
    <x v="0"/>
    <s v="Manual"/>
    <d v="2026-06-01T00:00:00"/>
    <d v="2026-06-23T00:00:00"/>
    <n v="1812506"/>
    <n v="92991"/>
    <n v="1719515"/>
    <x v="3"/>
    <x v="3"/>
    <s v="No"/>
    <s v="Yes"/>
    <n v="3.4"/>
    <x v="0"/>
    <n v="6"/>
    <s v="June"/>
  </r>
  <r>
    <s v="C0966"/>
    <s v="Sneha Patel"/>
    <n v="55"/>
    <x v="0"/>
    <x v="5"/>
    <s v="Tamil Nadu"/>
    <s v="Mahindra"/>
    <x v="0"/>
    <x v="3"/>
    <x v="1"/>
    <s v="Automatic"/>
    <d v="2025-08-13T00:00:00"/>
    <d v="2025-09-07T00:00:00"/>
    <n v="1812335"/>
    <n v="15948"/>
    <n v="1796387"/>
    <x v="4"/>
    <x v="0"/>
    <s v="No"/>
    <s v="No"/>
    <n v="3.4"/>
    <x v="0"/>
    <n v="9"/>
    <s v="September"/>
  </r>
  <r>
    <s v="C0967"/>
    <s v="Priya Nair"/>
    <n v="33"/>
    <x v="1"/>
    <x v="2"/>
    <s v="Tamil Nadu"/>
    <s v="Mahindra"/>
    <x v="0"/>
    <x v="1"/>
    <x v="1"/>
    <s v="Manual"/>
    <d v="2025-09-30T00:00:00"/>
    <d v="2025-10-24T00:00:00"/>
    <n v="1814038"/>
    <n v="15029"/>
    <n v="1799009"/>
    <x v="4"/>
    <x v="1"/>
    <s v="No"/>
    <s v="Yes"/>
    <n v="4.4000000000000004"/>
    <x v="0"/>
    <n v="10"/>
    <s v="October"/>
  </r>
  <r>
    <s v="C0968"/>
    <s v="Rohit Singh"/>
    <n v="42"/>
    <x v="1"/>
    <x v="5"/>
    <s v="Tamil Nadu"/>
    <s v="Mahindra"/>
    <x v="2"/>
    <x v="0"/>
    <x v="0"/>
    <s v="Manual"/>
    <d v="2025-11-11T00:00:00"/>
    <d v="2025-12-04T00:00:00"/>
    <n v="1347309"/>
    <n v="69754"/>
    <n v="1277555"/>
    <x v="1"/>
    <x v="2"/>
    <s v="Yes"/>
    <s v="No"/>
    <n v="4.7"/>
    <x v="0"/>
    <n v="12"/>
    <s v="December"/>
  </r>
  <r>
    <s v="C0969"/>
    <s v="Rahul Sharma"/>
    <n v="28"/>
    <x v="1"/>
    <x v="0"/>
    <s v="Telangana"/>
    <s v="Mahindra"/>
    <x v="2"/>
    <x v="2"/>
    <x v="1"/>
    <s v="Manual"/>
    <d v="2025-03-23T00:00:00"/>
    <d v="2025-04-27T00:00:00"/>
    <n v="1525911"/>
    <n v="26754"/>
    <n v="1499157"/>
    <x v="0"/>
    <x v="0"/>
    <s v="Yes"/>
    <s v="No"/>
    <n v="3.6"/>
    <x v="0"/>
    <n v="4"/>
    <s v="April"/>
  </r>
  <r>
    <s v="C0970"/>
    <s v="Meera Iyer"/>
    <n v="25"/>
    <x v="0"/>
    <x v="5"/>
    <s v="Tamil Nadu"/>
    <s v="Mahindra"/>
    <x v="1"/>
    <x v="0"/>
    <x v="1"/>
    <s v="Manual"/>
    <d v="2025-07-16T00:00:00"/>
    <d v="2025-08-12T00:00:00"/>
    <n v="1557499"/>
    <n v="35353"/>
    <n v="1522146"/>
    <x v="1"/>
    <x v="3"/>
    <s v="Yes"/>
    <s v="Yes"/>
    <n v="4.3"/>
    <x v="0"/>
    <n v="8"/>
    <s v="August"/>
  </r>
  <r>
    <s v="C0971"/>
    <s v="Priya Nair"/>
    <n v="46"/>
    <x v="0"/>
    <x v="3"/>
    <s v="Maharashtra"/>
    <s v="Mahindra"/>
    <x v="2"/>
    <x v="0"/>
    <x v="0"/>
    <s v="Manual"/>
    <d v="2025-01-30T00:00:00"/>
    <d v="2025-02-22T00:00:00"/>
    <n v="1498949"/>
    <n v="94517"/>
    <n v="1404432"/>
    <x v="2"/>
    <x v="4"/>
    <s v="Yes"/>
    <s v="Yes"/>
    <n v="3.3"/>
    <x v="0"/>
    <n v="2"/>
    <s v="February"/>
  </r>
  <r>
    <s v="C0972"/>
    <s v="Rahul Sharma"/>
    <n v="43"/>
    <x v="0"/>
    <x v="0"/>
    <s v="Telangana"/>
    <s v="Mahindra"/>
    <x v="1"/>
    <x v="2"/>
    <x v="1"/>
    <s v="Automatic"/>
    <d v="2026-04-04T00:00:00"/>
    <d v="2026-05-04T00:00:00"/>
    <n v="1804654"/>
    <n v="66768"/>
    <n v="1737886"/>
    <x v="4"/>
    <x v="2"/>
    <s v="Yes"/>
    <s v="No"/>
    <n v="4.0999999999999996"/>
    <x v="0"/>
    <n v="5"/>
    <s v="May"/>
  </r>
  <r>
    <s v="C0973"/>
    <s v="Meera Iyer"/>
    <n v="52"/>
    <x v="0"/>
    <x v="3"/>
    <s v="Maharashtra"/>
    <s v="Mahindra"/>
    <x v="1"/>
    <x v="2"/>
    <x v="0"/>
    <s v="Manual"/>
    <d v="2026-05-15T00:00:00"/>
    <d v="2026-05-26T00:00:00"/>
    <n v="1494278"/>
    <n v="16894"/>
    <n v="1477384"/>
    <x v="2"/>
    <x v="3"/>
    <s v="No"/>
    <s v="Yes"/>
    <n v="4"/>
    <x v="1"/>
    <n v="5"/>
    <s v="May"/>
  </r>
  <r>
    <s v="C0974"/>
    <s v="Rahul Sharma"/>
    <n v="49"/>
    <x v="1"/>
    <x v="2"/>
    <s v="Tamil Nadu"/>
    <s v="Mahindra"/>
    <x v="1"/>
    <x v="4"/>
    <x v="0"/>
    <s v="Automatic"/>
    <d v="2025-12-24T00:00:00"/>
    <d v="2026-01-05T00:00:00"/>
    <n v="1525420"/>
    <n v="33507"/>
    <n v="1491913"/>
    <x v="4"/>
    <x v="4"/>
    <s v="No"/>
    <s v="Yes"/>
    <n v="3.4"/>
    <x v="1"/>
    <n v="1"/>
    <s v="January"/>
  </r>
  <r>
    <s v="C0975"/>
    <s v="Anjali Verma"/>
    <n v="47"/>
    <x v="1"/>
    <x v="1"/>
    <s v="Tamil Nadu"/>
    <s v="Mahindra"/>
    <x v="1"/>
    <x v="3"/>
    <x v="0"/>
    <s v="Manual"/>
    <d v="2025-04-04T00:00:00"/>
    <d v="2025-05-10T00:00:00"/>
    <n v="1808766"/>
    <n v="43093"/>
    <n v="1765673"/>
    <x v="3"/>
    <x v="2"/>
    <s v="No"/>
    <s v="No"/>
    <n v="3.8"/>
    <x v="0"/>
    <n v="5"/>
    <s v="May"/>
  </r>
  <r>
    <s v="C0976"/>
    <s v="Sneha Patel"/>
    <n v="23"/>
    <x v="0"/>
    <x v="0"/>
    <s v="Telangana"/>
    <s v="Mahindra"/>
    <x v="2"/>
    <x v="1"/>
    <x v="0"/>
    <s v="Automatic"/>
    <d v="2025-01-27T00:00:00"/>
    <d v="2025-02-25T00:00:00"/>
    <n v="1587768"/>
    <n v="94228"/>
    <n v="1493540"/>
    <x v="4"/>
    <x v="1"/>
    <s v="No"/>
    <s v="Yes"/>
    <n v="4.5999999999999996"/>
    <x v="0"/>
    <n v="2"/>
    <s v="February"/>
  </r>
  <r>
    <s v="C0977"/>
    <s v="Sneha Patel"/>
    <n v="29"/>
    <x v="0"/>
    <x v="4"/>
    <s v="Karnataka"/>
    <s v="Mahindra"/>
    <x v="2"/>
    <x v="1"/>
    <x v="1"/>
    <s v="Manual"/>
    <d v="2025-11-17T00:00:00"/>
    <d v="2025-12-24T00:00:00"/>
    <n v="1601533"/>
    <n v="84972"/>
    <n v="1516561"/>
    <x v="2"/>
    <x v="3"/>
    <s v="No"/>
    <s v="Yes"/>
    <n v="3.1"/>
    <x v="0"/>
    <n v="12"/>
    <s v="December"/>
  </r>
  <r>
    <s v="C0978"/>
    <s v="Karthik S"/>
    <n v="35"/>
    <x v="1"/>
    <x v="1"/>
    <s v="Tamil Nadu"/>
    <s v="Mahindra"/>
    <x v="1"/>
    <x v="1"/>
    <x v="1"/>
    <s v="Automatic"/>
    <d v="2025-01-10T00:00:00"/>
    <d v="2025-02-07T00:00:00"/>
    <n v="1317336"/>
    <n v="38842"/>
    <n v="1278494"/>
    <x v="3"/>
    <x v="4"/>
    <s v="Yes"/>
    <s v="Yes"/>
    <n v="3.2"/>
    <x v="0"/>
    <n v="2"/>
    <s v="February"/>
  </r>
  <r>
    <s v="C0979"/>
    <s v="Arjun Kumar"/>
    <n v="46"/>
    <x v="0"/>
    <x v="5"/>
    <s v="Tamil Nadu"/>
    <s v="Mahindra"/>
    <x v="2"/>
    <x v="2"/>
    <x v="0"/>
    <s v="Automatic"/>
    <d v="2026-02-28T00:00:00"/>
    <d v="2026-04-10T00:00:00"/>
    <n v="1602544"/>
    <n v="38910"/>
    <n v="1563634"/>
    <x v="1"/>
    <x v="4"/>
    <s v="No"/>
    <s v="No"/>
    <n v="3"/>
    <x v="0"/>
    <n v="4"/>
    <s v="April"/>
  </r>
  <r>
    <s v="C0980"/>
    <s v="Arjun Kumar"/>
    <n v="22"/>
    <x v="1"/>
    <x v="5"/>
    <s v="Tamil Nadu"/>
    <s v="Mahindra"/>
    <x v="0"/>
    <x v="3"/>
    <x v="1"/>
    <s v="Automatic"/>
    <d v="2026-02-18T00:00:00"/>
    <d v="2026-03-16T00:00:00"/>
    <n v="1536925"/>
    <n v="17192"/>
    <n v="1519733"/>
    <x v="0"/>
    <x v="1"/>
    <s v="No"/>
    <s v="Yes"/>
    <n v="3.2"/>
    <x v="0"/>
    <n v="3"/>
    <s v="March"/>
  </r>
  <r>
    <s v="C0981"/>
    <s v="Priya Nair"/>
    <n v="48"/>
    <x v="0"/>
    <x v="1"/>
    <s v="Tamil Nadu"/>
    <s v="Mahindra"/>
    <x v="1"/>
    <x v="0"/>
    <x v="0"/>
    <s v="Manual"/>
    <d v="2025-01-30T00:00:00"/>
    <d v="2025-03-09T00:00:00"/>
    <n v="1767570"/>
    <n v="12944"/>
    <n v="1754626"/>
    <x v="3"/>
    <x v="0"/>
    <s v="No"/>
    <s v="No"/>
    <n v="5"/>
    <x v="0"/>
    <n v="3"/>
    <s v="March"/>
  </r>
  <r>
    <s v="C0982"/>
    <s v="Meera Iyer"/>
    <n v="39"/>
    <x v="1"/>
    <x v="2"/>
    <s v="Tamil Nadu"/>
    <s v="Mahindra"/>
    <x v="0"/>
    <x v="4"/>
    <x v="1"/>
    <s v="Automatic"/>
    <d v="2025-09-30T00:00:00"/>
    <d v="2025-10-28T00:00:00"/>
    <n v="1602964"/>
    <n v="75246"/>
    <n v="1527718"/>
    <x v="1"/>
    <x v="3"/>
    <s v="Yes"/>
    <s v="Yes"/>
    <n v="4"/>
    <x v="0"/>
    <n v="10"/>
    <s v="October"/>
  </r>
  <r>
    <s v="C0983"/>
    <s v="Meera Iyer"/>
    <n v="39"/>
    <x v="0"/>
    <x v="4"/>
    <s v="Karnataka"/>
    <s v="Mahindra"/>
    <x v="2"/>
    <x v="0"/>
    <x v="0"/>
    <s v="Manual"/>
    <d v="2025-07-10T00:00:00"/>
    <d v="2025-08-24T00:00:00"/>
    <n v="1873751"/>
    <n v="87455"/>
    <n v="1786296"/>
    <x v="2"/>
    <x v="4"/>
    <s v="Yes"/>
    <s v="Yes"/>
    <n v="3.5"/>
    <x v="0"/>
    <n v="8"/>
    <s v="August"/>
  </r>
  <r>
    <s v="C0984"/>
    <s v="Priya Nair"/>
    <n v="38"/>
    <x v="1"/>
    <x v="0"/>
    <s v="Telangana"/>
    <s v="Mahindra"/>
    <x v="0"/>
    <x v="3"/>
    <x v="0"/>
    <s v="Manual"/>
    <d v="2026-05-12T00:00:00"/>
    <d v="2026-05-23T00:00:00"/>
    <n v="1891499"/>
    <n v="16348"/>
    <n v="1875151"/>
    <x v="2"/>
    <x v="3"/>
    <s v="Yes"/>
    <s v="Yes"/>
    <n v="3.2"/>
    <x v="1"/>
    <n v="5"/>
    <s v="May"/>
  </r>
  <r>
    <s v="C0985"/>
    <s v="Anjali Verma"/>
    <n v="30"/>
    <x v="1"/>
    <x v="0"/>
    <s v="Telangana"/>
    <s v="Mahindra"/>
    <x v="0"/>
    <x v="4"/>
    <x v="1"/>
    <s v="Manual"/>
    <d v="2025-10-02T00:00:00"/>
    <d v="2025-10-19T00:00:00"/>
    <n v="1696708"/>
    <n v="43636"/>
    <n v="1653072"/>
    <x v="0"/>
    <x v="2"/>
    <s v="No"/>
    <s v="Yes"/>
    <n v="4.5"/>
    <x v="1"/>
    <n v="10"/>
    <s v="October"/>
  </r>
  <r>
    <s v="C0986"/>
    <s v="Sneha Patel"/>
    <n v="48"/>
    <x v="1"/>
    <x v="4"/>
    <s v="Karnataka"/>
    <s v="Mahindra"/>
    <x v="0"/>
    <x v="3"/>
    <x v="0"/>
    <s v="Automatic"/>
    <d v="2025-06-13T00:00:00"/>
    <d v="2025-07-22T00:00:00"/>
    <n v="1513042"/>
    <n v="65626"/>
    <n v="1447416"/>
    <x v="3"/>
    <x v="3"/>
    <s v="Yes"/>
    <s v="No"/>
    <n v="3.3"/>
    <x v="0"/>
    <n v="7"/>
    <s v="July"/>
  </r>
  <r>
    <s v="C0987"/>
    <s v="Meera Iyer"/>
    <n v="30"/>
    <x v="1"/>
    <x v="0"/>
    <s v="Telangana"/>
    <s v="Mahindra"/>
    <x v="0"/>
    <x v="2"/>
    <x v="1"/>
    <s v="Automatic"/>
    <d v="2026-03-05T00:00:00"/>
    <d v="2026-04-04T00:00:00"/>
    <n v="1306483"/>
    <n v="82867"/>
    <n v="1223616"/>
    <x v="0"/>
    <x v="3"/>
    <s v="Yes"/>
    <s v="No"/>
    <n v="3.1"/>
    <x v="0"/>
    <n v="4"/>
    <s v="April"/>
  </r>
  <r>
    <s v="C0988"/>
    <s v="Meera Iyer"/>
    <n v="23"/>
    <x v="1"/>
    <x v="0"/>
    <s v="Telangana"/>
    <s v="Mahindra"/>
    <x v="2"/>
    <x v="2"/>
    <x v="1"/>
    <s v="Automatic"/>
    <d v="2025-01-17T00:00:00"/>
    <d v="2025-01-29T00:00:00"/>
    <n v="1669656"/>
    <n v="43191"/>
    <n v="1626465"/>
    <x v="1"/>
    <x v="4"/>
    <s v="No"/>
    <s v="No"/>
    <n v="4.8"/>
    <x v="1"/>
    <n v="1"/>
    <s v="January"/>
  </r>
  <r>
    <s v="C0989"/>
    <s v="Vikram Rao"/>
    <n v="41"/>
    <x v="0"/>
    <x v="5"/>
    <s v="Tamil Nadu"/>
    <s v="Mahindra"/>
    <x v="0"/>
    <x v="4"/>
    <x v="0"/>
    <s v="Automatic"/>
    <d v="2026-02-24T00:00:00"/>
    <d v="2026-03-26T00:00:00"/>
    <n v="1593718"/>
    <n v="91267"/>
    <n v="1502451"/>
    <x v="2"/>
    <x v="2"/>
    <s v="No"/>
    <s v="Yes"/>
    <n v="3.1"/>
    <x v="0"/>
    <n v="3"/>
    <s v="March"/>
  </r>
  <r>
    <s v="C0990"/>
    <s v="Arjun Kumar"/>
    <n v="46"/>
    <x v="0"/>
    <x v="1"/>
    <s v="Tamil Nadu"/>
    <s v="Mahindra"/>
    <x v="2"/>
    <x v="4"/>
    <x v="0"/>
    <s v="Automatic"/>
    <d v="2025-09-26T00:00:00"/>
    <d v="2025-10-25T00:00:00"/>
    <n v="1339342"/>
    <n v="96038"/>
    <n v="1243304"/>
    <x v="3"/>
    <x v="3"/>
    <s v="No"/>
    <s v="Yes"/>
    <n v="4.2"/>
    <x v="0"/>
    <n v="10"/>
    <s v="October"/>
  </r>
  <r>
    <s v="C0991"/>
    <s v="Pooja Das"/>
    <n v="46"/>
    <x v="1"/>
    <x v="3"/>
    <s v="Maharashtra"/>
    <s v="Mahindra"/>
    <x v="0"/>
    <x v="4"/>
    <x v="0"/>
    <s v="Manual"/>
    <d v="2025-06-12T00:00:00"/>
    <d v="2025-07-01T00:00:00"/>
    <n v="1756789"/>
    <n v="11065"/>
    <n v="1745724"/>
    <x v="2"/>
    <x v="0"/>
    <s v="No"/>
    <s v="No"/>
    <n v="4.8"/>
    <x v="1"/>
    <n v="7"/>
    <s v="July"/>
  </r>
  <r>
    <s v="C0992"/>
    <s v="Rahul Sharma"/>
    <n v="25"/>
    <x v="1"/>
    <x v="0"/>
    <s v="Telangana"/>
    <s v="Mahindra"/>
    <x v="1"/>
    <x v="4"/>
    <x v="0"/>
    <s v="Manual"/>
    <d v="2026-01-24T00:00:00"/>
    <d v="2026-02-16T00:00:00"/>
    <n v="1612379"/>
    <n v="60461"/>
    <n v="1551918"/>
    <x v="2"/>
    <x v="4"/>
    <s v="No"/>
    <s v="No"/>
    <n v="4.9000000000000004"/>
    <x v="0"/>
    <n v="2"/>
    <s v="February"/>
  </r>
  <r>
    <s v="C0993"/>
    <s v="Rahul Sharma"/>
    <n v="37"/>
    <x v="0"/>
    <x v="1"/>
    <s v="Tamil Nadu"/>
    <s v="Mahindra"/>
    <x v="2"/>
    <x v="1"/>
    <x v="1"/>
    <s v="Manual"/>
    <d v="2025-09-13T00:00:00"/>
    <d v="2025-10-22T00:00:00"/>
    <n v="1657526"/>
    <n v="29453"/>
    <n v="1628073"/>
    <x v="2"/>
    <x v="3"/>
    <s v="Yes"/>
    <s v="No"/>
    <n v="3.4"/>
    <x v="0"/>
    <n v="10"/>
    <s v="October"/>
  </r>
  <r>
    <s v="C0994"/>
    <s v="Priya Nair"/>
    <n v="56"/>
    <x v="1"/>
    <x v="5"/>
    <s v="Tamil Nadu"/>
    <s v="Mahindra"/>
    <x v="0"/>
    <x v="3"/>
    <x v="0"/>
    <s v="Automatic"/>
    <d v="2026-02-11T00:00:00"/>
    <d v="2026-03-19T00:00:00"/>
    <n v="1732313"/>
    <n v="80805"/>
    <n v="1651508"/>
    <x v="0"/>
    <x v="4"/>
    <s v="Yes"/>
    <s v="No"/>
    <n v="4.9000000000000004"/>
    <x v="0"/>
    <n v="3"/>
    <s v="March"/>
  </r>
  <r>
    <s v="C0995"/>
    <s v="Priya Nair"/>
    <n v="31"/>
    <x v="0"/>
    <x v="1"/>
    <s v="Tamil Nadu"/>
    <s v="Mahindra"/>
    <x v="1"/>
    <x v="1"/>
    <x v="1"/>
    <s v="Manual"/>
    <d v="2025-10-08T00:00:00"/>
    <d v="2025-10-18T00:00:00"/>
    <n v="1329187"/>
    <n v="46269"/>
    <n v="1282918"/>
    <x v="0"/>
    <x v="2"/>
    <s v="Yes"/>
    <s v="No"/>
    <n v="3.6"/>
    <x v="2"/>
    <n v="10"/>
    <s v="October"/>
  </r>
  <r>
    <s v="C0996"/>
    <s v="Rohit Singh"/>
    <n v="54"/>
    <x v="1"/>
    <x v="3"/>
    <s v="Maharashtra"/>
    <s v="Mahindra"/>
    <x v="2"/>
    <x v="2"/>
    <x v="0"/>
    <s v="Manual"/>
    <d v="2025-01-04T00:00:00"/>
    <d v="2025-01-13T00:00:00"/>
    <n v="1729438"/>
    <n v="23322"/>
    <n v="1706116"/>
    <x v="0"/>
    <x v="2"/>
    <s v="Yes"/>
    <s v="Yes"/>
    <n v="3.8"/>
    <x v="2"/>
    <n v="1"/>
    <s v="January"/>
  </r>
  <r>
    <s v="C0997"/>
    <s v="Arjun Kumar"/>
    <n v="28"/>
    <x v="1"/>
    <x v="3"/>
    <s v="Maharashtra"/>
    <s v="Mahindra"/>
    <x v="2"/>
    <x v="4"/>
    <x v="0"/>
    <s v="Automatic"/>
    <d v="2025-03-04T00:00:00"/>
    <d v="2025-03-29T00:00:00"/>
    <n v="1613667"/>
    <n v="33302"/>
    <n v="1580365"/>
    <x v="2"/>
    <x v="0"/>
    <s v="Yes"/>
    <s v="Yes"/>
    <n v="3.6"/>
    <x v="0"/>
    <n v="3"/>
    <s v="March"/>
  </r>
  <r>
    <s v="C0998"/>
    <s v="Meera Iyer"/>
    <n v="42"/>
    <x v="0"/>
    <x v="5"/>
    <s v="Tamil Nadu"/>
    <s v="Mahindra"/>
    <x v="2"/>
    <x v="3"/>
    <x v="0"/>
    <s v="Manual"/>
    <d v="2025-11-27T00:00:00"/>
    <d v="2026-01-06T00:00:00"/>
    <n v="1621323"/>
    <n v="90507"/>
    <n v="1530816"/>
    <x v="0"/>
    <x v="2"/>
    <s v="No"/>
    <s v="No"/>
    <n v="3.7"/>
    <x v="0"/>
    <n v="1"/>
    <s v="January"/>
  </r>
  <r>
    <s v="C0999"/>
    <s v="Rahul Sharma"/>
    <n v="58"/>
    <x v="1"/>
    <x v="4"/>
    <s v="Karnataka"/>
    <s v="Mahindra"/>
    <x v="0"/>
    <x v="0"/>
    <x v="1"/>
    <s v="Automatic"/>
    <d v="2026-01-21T00:00:00"/>
    <d v="2026-03-01T00:00:00"/>
    <n v="1445490"/>
    <n v="18594"/>
    <n v="1426896"/>
    <x v="1"/>
    <x v="2"/>
    <s v="No"/>
    <s v="Yes"/>
    <n v="3.6"/>
    <x v="0"/>
    <n v="3"/>
    <s v="March"/>
  </r>
  <r>
    <s v="C1000"/>
    <s v="Rahul Sharma"/>
    <n v="60"/>
    <x v="0"/>
    <x v="4"/>
    <s v="Karnataka"/>
    <s v="Mahindra"/>
    <x v="1"/>
    <x v="2"/>
    <x v="0"/>
    <s v="Automatic"/>
    <d v="2026-01-12T00:00:00"/>
    <d v="2026-01-28T00:00:00"/>
    <n v="1563517"/>
    <n v="50153"/>
    <n v="1513364"/>
    <x v="4"/>
    <x v="1"/>
    <s v="Yes"/>
    <s v="No"/>
    <n v="4.3"/>
    <x v="1"/>
    <n v="1"/>
    <s v="Janua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C577C-60D8-4145-9DD5-0CCB1739373B}"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6:B62" firstHeaderRow="1" firstDataRow="1" firstDataCol="1"/>
  <pivotFields count="24">
    <pivotField dataField="1" showAll="0"/>
    <pivotField showAll="0"/>
    <pivotField showAll="0"/>
    <pivotField showAll="0"/>
    <pivotField showAll="0"/>
    <pivotField showAll="0"/>
    <pivotField showAll="0"/>
    <pivotField showAll="0"/>
    <pivotField axis="axisRow" showAll="0">
      <items count="6">
        <item x="4"/>
        <item x="3"/>
        <item x="1"/>
        <item x="0"/>
        <item x="2"/>
        <item t="default"/>
      </items>
    </pivotField>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Custom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1E2A73-0439-4AC9-80E6-C2970ED24A2F}"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7:B53"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axis="axisRow" showAll="0">
      <items count="6">
        <item x="4"/>
        <item x="1"/>
        <item x="3"/>
        <item x="0"/>
        <item x="2"/>
        <item t="default"/>
      </items>
    </pivotField>
    <pivotField showAll="0"/>
    <pivotField showAll="0"/>
    <pivotField showAll="0"/>
    <pivotField showAll="0"/>
    <pivotField showAll="0"/>
    <pivotField showAll="0"/>
  </pivotFields>
  <rowFields count="1">
    <field x="17"/>
  </rowFields>
  <rowItems count="6">
    <i>
      <x/>
    </i>
    <i>
      <x v="1"/>
    </i>
    <i>
      <x v="2"/>
    </i>
    <i>
      <x v="3"/>
    </i>
    <i>
      <x v="4"/>
    </i>
    <i t="grand">
      <x/>
    </i>
  </rowItems>
  <colItems count="1">
    <i/>
  </colItems>
  <dataFields count="1">
    <dataField name="Sum of Final_Price"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54C5CE-6C53-4F7C-9CFF-C77BE3FD519F}"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1:B44" firstHeaderRow="1" firstDataRow="1" firstDataCol="1"/>
  <pivotFields count="24">
    <pivotField dataField="1"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Custom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525552-27A7-40F4-A3E5-396C5AE1DC50}"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2:B38" firstHeaderRow="1" firstDataRow="1" firstDataCol="1"/>
  <pivotFields count="24">
    <pivotField dataField="1"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axis="axisRow" showAll="0">
      <items count="6">
        <item x="4"/>
        <item x="1"/>
        <item x="3"/>
        <item x="2"/>
        <item x="0"/>
        <item t="default"/>
      </items>
    </pivotField>
    <pivotField showAll="0"/>
    <pivotField showAll="0"/>
    <pivotField showAll="0"/>
    <pivotField showAll="0"/>
    <pivotField showAll="0"/>
    <pivotField showAll="0"/>
    <pivotField showAll="0"/>
  </pivotFields>
  <rowFields count="1">
    <field x="16"/>
  </rowFields>
  <rowItems count="6">
    <i>
      <x/>
    </i>
    <i>
      <x v="1"/>
    </i>
    <i>
      <x v="2"/>
    </i>
    <i>
      <x v="3"/>
    </i>
    <i>
      <x v="4"/>
    </i>
    <i t="grand">
      <x/>
    </i>
  </rowItems>
  <colItems count="1">
    <i/>
  </colItems>
  <dataFields count="1">
    <dataField name="Count of Customer_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0"/>
          </reference>
        </references>
      </pivotArea>
    </chartFormat>
    <chartFormat chart="2" format="9">
      <pivotArea type="data" outline="0" fieldPosition="0">
        <references count="2">
          <reference field="4294967294" count="1" selected="0">
            <x v="0"/>
          </reference>
          <reference field="16" count="1" selected="0">
            <x v="1"/>
          </reference>
        </references>
      </pivotArea>
    </chartFormat>
    <chartFormat chart="2" format="10">
      <pivotArea type="data" outline="0" fieldPosition="0">
        <references count="2">
          <reference field="4294967294" count="1" selected="0">
            <x v="0"/>
          </reference>
          <reference field="16" count="1" selected="0">
            <x v="2"/>
          </reference>
        </references>
      </pivotArea>
    </chartFormat>
    <chartFormat chart="2" format="11">
      <pivotArea type="data" outline="0" fieldPosition="0">
        <references count="2">
          <reference field="4294967294" count="1" selected="0">
            <x v="0"/>
          </reference>
          <reference field="16" count="1" selected="0">
            <x v="3"/>
          </reference>
        </references>
      </pivotArea>
    </chartFormat>
    <chartFormat chart="2"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0D9DC5-9E09-4E8B-8C88-D0162C526A45}" name="PivotTable4"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5:B29" firstHeaderRow="1" firstDataRow="1" firstDataCol="1"/>
  <pivotFields count="24">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s>
  <rowFields count="1">
    <field x="21"/>
  </rowFields>
  <rowItems count="4">
    <i>
      <x/>
    </i>
    <i>
      <x v="1"/>
    </i>
    <i>
      <x v="2"/>
    </i>
    <i t="grand">
      <x/>
    </i>
  </rowItems>
  <colItems count="1">
    <i/>
  </colItems>
  <dataFields count="1">
    <dataField name="Count of Customer_ID"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1" count="1" selected="0">
            <x v="0"/>
          </reference>
        </references>
      </pivotArea>
    </chartFormat>
    <chartFormat chart="2" format="7">
      <pivotArea type="data" outline="0" fieldPosition="0">
        <references count="2">
          <reference field="4294967294" count="1" selected="0">
            <x v="0"/>
          </reference>
          <reference field="21" count="1" selected="0">
            <x v="1"/>
          </reference>
        </references>
      </pivotArea>
    </chartFormat>
    <chartFormat chart="2" format="8">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EA64FF-0154-4027-AD03-8ED5E5753CD7}"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8:B22" firstHeaderRow="1" firstDataRow="1" firstDataCol="1"/>
  <pivotFields count="24">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numFmtId="14"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Final_Price"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A6BC4A-3246-4C45-85AE-BA73A4EEDB7B}"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8:B15" firstHeaderRow="1" firstDataRow="1" firstDataCol="1"/>
  <pivotFields count="24">
    <pivotField dataField="1" showAll="0"/>
    <pivotField showAll="0"/>
    <pivotField showAll="0"/>
    <pivotField showAll="0"/>
    <pivotField axis="axisRow" showAll="0">
      <items count="7">
        <item x="4"/>
        <item x="1"/>
        <item x="5"/>
        <item x="0"/>
        <item x="2"/>
        <item x="3"/>
        <item t="default"/>
      </items>
    </pivotField>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Custom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87D855-31B1-402B-BBBA-59276217644B}"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4">
    <pivotField dataField="1"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 dataField="1" showAll="0"/>
    <pivotField dataField="1" showAll="0"/>
    <pivotField showAll="0"/>
    <pivotField showAll="0"/>
    <pivotField showAll="0"/>
  </pivotFields>
  <rowItems count="1">
    <i/>
  </rowItems>
  <colFields count="1">
    <field x="-2"/>
  </colFields>
  <colItems count="5">
    <i>
      <x/>
    </i>
    <i i="1">
      <x v="1"/>
    </i>
    <i i="2">
      <x v="2"/>
    </i>
    <i i="3">
      <x v="3"/>
    </i>
    <i i="4">
      <x v="4"/>
    </i>
  </colItems>
  <dataFields count="5">
    <dataField name="Total Bookings" fld="0" subtotal="count" baseField="0" baseItem="0"/>
    <dataField name="Total Revenue" fld="15" baseField="0" baseItem="1"/>
    <dataField name="Average of Final_Price" fld="15" subtotal="average" baseField="0" baseItem="2" numFmtId="2"/>
    <dataField name="Average of Customer Rating" fld="20" subtotal="average" baseField="0" baseItem="3"/>
    <dataField name="Count of Finance" fld="19" subtotal="count" baseField="0" baseItem="4"/>
  </dataFields>
  <formats count="1">
    <format dxfId="1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74E8EA0-601A-4416-B27D-D364A214E133}" autoFormatId="16" applyNumberFormats="0" applyBorderFormats="0" applyFontFormats="0" applyPatternFormats="0" applyAlignmentFormats="0" applyWidthHeightFormats="0">
  <queryTableRefresh nextId="25">
    <queryTableFields count="24">
      <queryTableField id="1" name="Customer_ID" tableColumnId="1"/>
      <queryTableField id="2" name="Customer Name" tableColumnId="2"/>
      <queryTableField id="3" name="Age" tableColumnId="3"/>
      <queryTableField id="4" name="Gender" tableColumnId="4"/>
      <queryTableField id="5" name="City" tableColumnId="5"/>
      <queryTableField id="6" name="State" tableColumnId="6"/>
      <queryTableField id="7" name="Showroom" tableColumnId="7"/>
      <queryTableField id="8" name="Variant" tableColumnId="8"/>
      <queryTableField id="9" name="Color" tableColumnId="9"/>
      <queryTableField id="10" name="Fuel Type" tableColumnId="10"/>
      <queryTableField id="11" name="Transmission" tableColumnId="11"/>
      <queryTableField id="12" name="Booking_Date" tableColumnId="12"/>
      <queryTableField id="13" name="Delivery_Date" tableColumnId="13"/>
      <queryTableField id="14" name="Ex_Showroom_Price" tableColumnId="14"/>
      <queryTableField id="15" name="Discount" tableColumnId="15"/>
      <queryTableField id="16" name="Final_Price" tableColumnId="16"/>
      <queryTableField id="17" name="Payment Mode" tableColumnId="17"/>
      <queryTableField id="18" name="Sales Executive" tableColumnId="18"/>
      <queryTableField id="19" name="Test Drive" tableColumnId="19"/>
      <queryTableField id="20" name="Finance" tableColumnId="20"/>
      <queryTableField id="21" name="Customer Rating" tableColumnId="21"/>
      <queryTableField id="22" name="Delivery Status" tableColumnId="22"/>
      <queryTableField id="23" name="Month" tableColumnId="23"/>
      <queryTableField id="24" name="Month Nam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C8A9169-D1F5-4FAD-9130-7B59902BF842}" sourceName="City">
  <pivotTables>
    <pivotTable tabId="3" name="PivotTable2"/>
  </pivotTables>
  <data>
    <tabular pivotCacheId="995652974">
      <items count="6">
        <i x="4" s="1"/>
        <i x="1" s="1"/>
        <i x="5"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38B410A2-8F80-44D6-B49A-59D6464C141E}" sourceName="Color">
  <pivotTables>
    <pivotTable tabId="3" name="PivotTable8"/>
  </pivotTables>
  <data>
    <tabular pivotCacheId="995652974">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 xr10:uid="{69CCD6E2-5DFF-47A1-9697-742CF8174104}" sourceName="Sales Executive">
  <pivotTables>
    <pivotTable tabId="3" name="PivotTable7"/>
  </pivotTables>
  <data>
    <tabular pivotCacheId="995652974">
      <items count="5">
        <i x="4" s="1"/>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6423FD-2654-4E43-ADF6-7D3DDE419F3C}" sourceName="Gender">
  <pivotTables>
    <pivotTable tabId="3" name="PivotTable4"/>
  </pivotTables>
  <data>
    <tabular pivotCacheId="99565297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910F9017-666D-4EEF-A88F-0672905979B6}" sourceName="Fuel Type">
  <pivotTables>
    <pivotTable tabId="3" name="PivotTable6"/>
  </pivotTables>
  <data>
    <tabular pivotCacheId="99565297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EC722CE-8778-4150-A2EB-011FCD0C2D91}" cache="Slicer_City" caption="City" rowHeight="254000"/>
  <slicer name="Color" xr10:uid="{467F63E4-6D11-485C-B3F3-E5CAADB79554}" cache="Slicer_Color" caption="Color" rowHeight="254000"/>
  <slicer name="Sales Executive" xr10:uid="{25159CFF-803A-4641-94AD-A9B5D4996DED}" cache="Slicer_Sales_Executive" caption="Sales Executive" rowHeight="254000"/>
  <slicer name="Gender" xr10:uid="{680C76AC-372F-4671-A759-1C5C0D920A64}" cache="Slicer_Gender" caption="Gender" rowHeight="254000"/>
  <slicer name="Fuel Type" xr10:uid="{743E586C-BCB8-4C8A-AA97-59711053886D}" cache="Slicer_Fuel_Type" caption="Fuel Type"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B3BDEA8-D96D-4BA3-8FB2-7355B3CAE998}" cache="Slicer_City" caption="City" rowHeight="254000"/>
  <slicer name="Color 1" xr10:uid="{3DEF2320-3A3A-4A95-BD7A-07EEBF3DBC0C}" cache="Slicer_Color" caption="Color" rowHeight="254000"/>
  <slicer name="Sales Executive 1" xr10:uid="{E82A468B-AB6F-4D26-93F8-6D212FFB7D7D}" cache="Slicer_Sales_Executive" caption="Sales Executive" rowHeight="254000"/>
  <slicer name="Gender 1" xr10:uid="{FDC805C6-C20E-42FC-8196-F5077B8D432A}" cache="Slicer_Gender" caption="Gender" rowHeight="254000"/>
  <slicer name="Fuel Type 1" xr10:uid="{56BD323B-82F6-49D7-9A07-F3883EA199CC}" cache="Slicer_Fuel_Type" caption="Fuel Type" rowHeight="25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1EEF30-C3DE-4FC8-8990-D2703703F943}" name="Sheet" displayName="Sheet" ref="A1:X1001" tableType="queryTable" totalsRowShown="0">
  <autoFilter ref="A1:X1001" xr:uid="{6E1EEF30-C3DE-4FC8-8990-D2703703F943}"/>
  <tableColumns count="24">
    <tableColumn id="1" xr3:uid="{7CE57C64-D852-43DA-AD79-C35CF154BD9F}" uniqueName="1" name="Customer_ID" queryTableFieldId="1" dataDxfId="16"/>
    <tableColumn id="2" xr3:uid="{73539CEC-66DD-47F2-AD7F-3D0A6106F80A}" uniqueName="2" name="Customer Name" queryTableFieldId="2" dataDxfId="15"/>
    <tableColumn id="3" xr3:uid="{56987C3A-DE3C-4117-9F6F-6AC725567718}" uniqueName="3" name="Age" queryTableFieldId="3"/>
    <tableColumn id="4" xr3:uid="{EEFC890C-060F-4982-9ECC-2F560F802D80}" uniqueName="4" name="Gender" queryTableFieldId="4" dataDxfId="14"/>
    <tableColumn id="5" xr3:uid="{4EDA63BE-7C11-4491-BED8-270C1C034CF9}" uniqueName="5" name="City" queryTableFieldId="5" dataDxfId="13"/>
    <tableColumn id="6" xr3:uid="{5959A92B-5863-4F8F-83A5-3601484062C8}" uniqueName="6" name="State" queryTableFieldId="6" dataDxfId="12"/>
    <tableColumn id="7" xr3:uid="{9FD51E6A-0F2F-42C0-8E1E-FE8E4D05B40A}" uniqueName="7" name="Showroom" queryTableFieldId="7" dataDxfId="11"/>
    <tableColumn id="8" xr3:uid="{D8BB68FF-019D-42F0-ABB5-DF3024E2193F}" uniqueName="8" name="Variant" queryTableFieldId="8" dataDxfId="10"/>
    <tableColumn id="9" xr3:uid="{776A44B8-C489-4B04-B1DB-93D9AD6A6862}" uniqueName="9" name="Color" queryTableFieldId="9" dataDxfId="9"/>
    <tableColumn id="10" xr3:uid="{C23844F2-DACB-4193-BA82-369F3D9439D4}" uniqueName="10" name="Fuel Type" queryTableFieldId="10" dataDxfId="8"/>
    <tableColumn id="11" xr3:uid="{B46AEE5A-1729-4CC8-88C9-1DFA330304AB}" uniqueName="11" name="Transmission" queryTableFieldId="11" dataDxfId="7"/>
    <tableColumn id="12" xr3:uid="{30E0FD9E-AD5F-4672-9E01-3E751E1AF706}" uniqueName="12" name="Booking_Date" queryTableFieldId="12" dataDxfId="6"/>
    <tableColumn id="13" xr3:uid="{49B025F5-C680-415E-B117-9158D4975026}" uniqueName="13" name="Delivery_Date" queryTableFieldId="13" dataDxfId="5"/>
    <tableColumn id="14" xr3:uid="{F6A652AF-F292-46E4-9887-6D10C16279A1}" uniqueName="14" name="Ex_Showroom_Price" queryTableFieldId="14"/>
    <tableColumn id="15" xr3:uid="{5F744927-E70E-4440-B9BC-950C62D639CA}" uniqueName="15" name="Discount" queryTableFieldId="15"/>
    <tableColumn id="16" xr3:uid="{F40B7629-98A5-4D8C-9C21-EB4B094D619F}" uniqueName="16" name="Final_Price" queryTableFieldId="16"/>
    <tableColumn id="17" xr3:uid="{FFE2E455-5723-4571-ACA0-F31EC83B6D34}" uniqueName="17" name="Payment Mode" queryTableFieldId="17" dataDxfId="4"/>
    <tableColumn id="18" xr3:uid="{2182D6A3-A574-44C9-8F8B-20895FB2B7DA}" uniqueName="18" name="Sales Executive" queryTableFieldId="18" dataDxfId="3"/>
    <tableColumn id="19" xr3:uid="{ADB5C918-D826-4475-8D6B-149D5B393149}" uniqueName="19" name="Test Drive" queryTableFieldId="19" dataDxfId="2"/>
    <tableColumn id="20" xr3:uid="{19E5883C-116D-4E23-8168-28E96F697183}" uniqueName="20" name="Finance" queryTableFieldId="20" dataDxfId="1"/>
    <tableColumn id="21" xr3:uid="{E73CCB02-7C0F-41A4-8FD7-26ABEB14F735}" uniqueName="21" name="Customer Rating" queryTableFieldId="21"/>
    <tableColumn id="22" xr3:uid="{3B4D0D8F-C99B-4E04-ADC8-D3166FAE57E2}" uniqueName="22" name="Delivery Status" queryTableFieldId="22"/>
    <tableColumn id="23" xr3:uid="{1A7E72F5-95C6-4BC8-9F7D-45CEBA2DEFCC}" uniqueName="23" name="Month" queryTableFieldId="23"/>
    <tableColumn id="24" xr3:uid="{215C1F79-5116-40F4-9DB2-71964C7AA51C}" uniqueName="24" name="Month Name"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AFD14-D1C0-4FD1-835C-375EB78FAF0B}">
  <dimension ref="A3:J62"/>
  <sheetViews>
    <sheetView workbookViewId="0">
      <selection activeCell="B75" sqref="B75"/>
    </sheetView>
  </sheetViews>
  <sheetFormatPr defaultRowHeight="14.4" x14ac:dyDescent="0.55000000000000004"/>
  <cols>
    <col min="1" max="1" width="12" bestFit="1" customWidth="1"/>
    <col min="2" max="2" width="18.41796875" bestFit="1" customWidth="1"/>
    <col min="3" max="3" width="18.26171875" bestFit="1" customWidth="1"/>
    <col min="4" max="4" width="22.89453125" bestFit="1" customWidth="1"/>
    <col min="5" max="5" width="14.20703125" bestFit="1" customWidth="1"/>
  </cols>
  <sheetData>
    <row r="3" spans="1:10" x14ac:dyDescent="0.55000000000000004">
      <c r="A3" t="s">
        <v>1087</v>
      </c>
      <c r="B3" t="s">
        <v>1089</v>
      </c>
      <c r="C3" t="s">
        <v>1093</v>
      </c>
      <c r="D3" t="s">
        <v>1094</v>
      </c>
      <c r="E3" t="s">
        <v>1090</v>
      </c>
    </row>
    <row r="4" spans="1:10" x14ac:dyDescent="0.55000000000000004">
      <c r="A4" s="1">
        <v>1000</v>
      </c>
      <c r="B4" s="1">
        <v>1546800804</v>
      </c>
      <c r="C4" s="4">
        <v>1546800.804</v>
      </c>
      <c r="D4" s="1">
        <v>4.0097999999999994</v>
      </c>
      <c r="E4" s="1">
        <v>1000</v>
      </c>
    </row>
    <row r="8" spans="1:10" x14ac:dyDescent="0.55000000000000004">
      <c r="A8" s="3" t="s">
        <v>1091</v>
      </c>
      <c r="B8" t="s">
        <v>1086</v>
      </c>
    </row>
    <row r="9" spans="1:10" x14ac:dyDescent="0.55000000000000004">
      <c r="A9" s="5" t="s">
        <v>84</v>
      </c>
      <c r="B9" s="1">
        <v>170</v>
      </c>
    </row>
    <row r="10" spans="1:10" x14ac:dyDescent="0.55000000000000004">
      <c r="A10" s="5" t="s">
        <v>43</v>
      </c>
      <c r="B10" s="1">
        <v>175</v>
      </c>
      <c r="J10">
        <f>GETPIVOTDATA("Average of Final_Price",$A$3)</f>
        <v>1546800.804</v>
      </c>
    </row>
    <row r="11" spans="1:10" x14ac:dyDescent="0.55000000000000004">
      <c r="A11" s="5" t="s">
        <v>90</v>
      </c>
      <c r="B11" s="1">
        <v>162</v>
      </c>
      <c r="J11">
        <f>GETPIVOTDATA("Average of Customer Rating",$A$3)</f>
        <v>4.0097999999999994</v>
      </c>
    </row>
    <row r="12" spans="1:10" x14ac:dyDescent="0.55000000000000004">
      <c r="A12" s="5" t="s">
        <v>27</v>
      </c>
      <c r="B12" s="1">
        <v>171</v>
      </c>
      <c r="J12">
        <f>GETPIVOTDATA("Count of Finance",$A$3)</f>
        <v>1000</v>
      </c>
    </row>
    <row r="13" spans="1:10" x14ac:dyDescent="0.55000000000000004">
      <c r="A13" s="5" t="s">
        <v>52</v>
      </c>
      <c r="B13" s="1">
        <v>155</v>
      </c>
    </row>
    <row r="14" spans="1:10" x14ac:dyDescent="0.55000000000000004">
      <c r="A14" s="5" t="s">
        <v>71</v>
      </c>
      <c r="B14" s="1">
        <v>167</v>
      </c>
    </row>
    <row r="15" spans="1:10" x14ac:dyDescent="0.55000000000000004">
      <c r="A15" s="5" t="s">
        <v>1092</v>
      </c>
      <c r="B15" s="1">
        <v>1000</v>
      </c>
    </row>
    <row r="18" spans="1:2" x14ac:dyDescent="0.55000000000000004">
      <c r="A18" s="3" t="s">
        <v>1091</v>
      </c>
      <c r="B18" t="s">
        <v>1088</v>
      </c>
    </row>
    <row r="19" spans="1:2" x14ac:dyDescent="0.55000000000000004">
      <c r="A19" s="5" t="s">
        <v>30</v>
      </c>
      <c r="B19" s="1">
        <v>638241738</v>
      </c>
    </row>
    <row r="20" spans="1:2" x14ac:dyDescent="0.55000000000000004">
      <c r="A20" s="5" t="s">
        <v>77</v>
      </c>
      <c r="B20" s="1">
        <v>289828093</v>
      </c>
    </row>
    <row r="21" spans="1:2" x14ac:dyDescent="0.55000000000000004">
      <c r="A21" s="5" t="s">
        <v>65</v>
      </c>
      <c r="B21" s="1">
        <v>618730973</v>
      </c>
    </row>
    <row r="22" spans="1:2" x14ac:dyDescent="0.55000000000000004">
      <c r="A22" s="5" t="s">
        <v>1092</v>
      </c>
      <c r="B22" s="1">
        <v>1546800804</v>
      </c>
    </row>
    <row r="25" spans="1:2" x14ac:dyDescent="0.55000000000000004">
      <c r="A25" s="3" t="s">
        <v>1091</v>
      </c>
      <c r="B25" t="s">
        <v>1086</v>
      </c>
    </row>
    <row r="26" spans="1:2" x14ac:dyDescent="0.55000000000000004">
      <c r="A26" s="5" t="s">
        <v>38</v>
      </c>
      <c r="B26" s="1">
        <v>661</v>
      </c>
    </row>
    <row r="27" spans="1:2" x14ac:dyDescent="0.55000000000000004">
      <c r="A27" s="5" t="s">
        <v>91</v>
      </c>
      <c r="B27" s="1">
        <v>94</v>
      </c>
    </row>
    <row r="28" spans="1:2" x14ac:dyDescent="0.55000000000000004">
      <c r="A28" s="5" t="s">
        <v>56</v>
      </c>
      <c r="B28" s="1">
        <v>245</v>
      </c>
    </row>
    <row r="29" spans="1:2" x14ac:dyDescent="0.55000000000000004">
      <c r="A29" s="5" t="s">
        <v>1092</v>
      </c>
      <c r="B29" s="1">
        <v>1000</v>
      </c>
    </row>
    <row r="32" spans="1:2" x14ac:dyDescent="0.55000000000000004">
      <c r="A32" s="3" t="s">
        <v>1091</v>
      </c>
      <c r="B32" t="s">
        <v>1086</v>
      </c>
    </row>
    <row r="33" spans="1:2" x14ac:dyDescent="0.55000000000000004">
      <c r="A33" s="5" t="s">
        <v>78</v>
      </c>
      <c r="B33" s="1">
        <v>193</v>
      </c>
    </row>
    <row r="34" spans="1:2" x14ac:dyDescent="0.55000000000000004">
      <c r="A34" s="5" t="s">
        <v>47</v>
      </c>
      <c r="B34" s="1">
        <v>213</v>
      </c>
    </row>
    <row r="35" spans="1:2" x14ac:dyDescent="0.55000000000000004">
      <c r="A35" s="5" t="s">
        <v>66</v>
      </c>
      <c r="B35" s="1">
        <v>206</v>
      </c>
    </row>
    <row r="36" spans="1:2" x14ac:dyDescent="0.55000000000000004">
      <c r="A36" s="5" t="s">
        <v>55</v>
      </c>
      <c r="B36" s="1">
        <v>214</v>
      </c>
    </row>
    <row r="37" spans="1:2" x14ac:dyDescent="0.55000000000000004">
      <c r="A37" s="5" t="s">
        <v>34</v>
      </c>
      <c r="B37" s="1">
        <v>174</v>
      </c>
    </row>
    <row r="38" spans="1:2" x14ac:dyDescent="0.55000000000000004">
      <c r="A38" s="5" t="s">
        <v>1092</v>
      </c>
      <c r="B38" s="1">
        <v>1000</v>
      </c>
    </row>
    <row r="41" spans="1:2" x14ac:dyDescent="0.55000000000000004">
      <c r="A41" s="3" t="s">
        <v>1091</v>
      </c>
      <c r="B41" t="s">
        <v>1086</v>
      </c>
    </row>
    <row r="42" spans="1:2" x14ac:dyDescent="0.55000000000000004">
      <c r="A42" s="5" t="s">
        <v>32</v>
      </c>
      <c r="B42" s="1">
        <v>496</v>
      </c>
    </row>
    <row r="43" spans="1:2" x14ac:dyDescent="0.55000000000000004">
      <c r="A43" s="5" t="s">
        <v>54</v>
      </c>
      <c r="B43" s="1">
        <v>504</v>
      </c>
    </row>
    <row r="44" spans="1:2" x14ac:dyDescent="0.55000000000000004">
      <c r="A44" s="5" t="s">
        <v>1092</v>
      </c>
      <c r="B44" s="1">
        <v>1000</v>
      </c>
    </row>
    <row r="47" spans="1:2" x14ac:dyDescent="0.55000000000000004">
      <c r="A47" s="3" t="s">
        <v>1091</v>
      </c>
      <c r="B47" t="s">
        <v>1088</v>
      </c>
    </row>
    <row r="48" spans="1:2" x14ac:dyDescent="0.55000000000000004">
      <c r="A48" s="5" t="s">
        <v>109</v>
      </c>
      <c r="B48" s="1">
        <v>296461808</v>
      </c>
    </row>
    <row r="49" spans="1:2" x14ac:dyDescent="0.55000000000000004">
      <c r="A49" s="5" t="s">
        <v>48</v>
      </c>
      <c r="B49" s="1">
        <v>323667382</v>
      </c>
    </row>
    <row r="50" spans="1:2" x14ac:dyDescent="0.55000000000000004">
      <c r="A50" s="5" t="s">
        <v>79</v>
      </c>
      <c r="B50" s="1">
        <v>348807003</v>
      </c>
    </row>
    <row r="51" spans="1:2" x14ac:dyDescent="0.55000000000000004">
      <c r="A51" s="5" t="s">
        <v>35</v>
      </c>
      <c r="B51" s="1">
        <v>304455094</v>
      </c>
    </row>
    <row r="52" spans="1:2" x14ac:dyDescent="0.55000000000000004">
      <c r="A52" s="5" t="s">
        <v>67</v>
      </c>
      <c r="B52" s="1">
        <v>273409517</v>
      </c>
    </row>
    <row r="53" spans="1:2" x14ac:dyDescent="0.55000000000000004">
      <c r="A53" s="5" t="s">
        <v>1092</v>
      </c>
      <c r="B53" s="1">
        <v>1546800804</v>
      </c>
    </row>
    <row r="56" spans="1:2" x14ac:dyDescent="0.55000000000000004">
      <c r="A56" s="3" t="s">
        <v>1091</v>
      </c>
      <c r="B56" t="s">
        <v>1086</v>
      </c>
    </row>
    <row r="57" spans="1:2" x14ac:dyDescent="0.55000000000000004">
      <c r="A57" s="5" t="s">
        <v>74</v>
      </c>
      <c r="B57" s="1">
        <v>191</v>
      </c>
    </row>
    <row r="58" spans="1:2" x14ac:dyDescent="0.55000000000000004">
      <c r="A58" s="5" t="s">
        <v>59</v>
      </c>
      <c r="B58" s="1">
        <v>195</v>
      </c>
    </row>
    <row r="59" spans="1:2" x14ac:dyDescent="0.55000000000000004">
      <c r="A59" s="5" t="s">
        <v>45</v>
      </c>
      <c r="B59" s="1">
        <v>201</v>
      </c>
    </row>
    <row r="60" spans="1:2" x14ac:dyDescent="0.55000000000000004">
      <c r="A60" s="5" t="s">
        <v>31</v>
      </c>
      <c r="B60" s="1">
        <v>198</v>
      </c>
    </row>
    <row r="61" spans="1:2" x14ac:dyDescent="0.55000000000000004">
      <c r="A61" s="5" t="s">
        <v>53</v>
      </c>
      <c r="B61" s="1">
        <v>215</v>
      </c>
    </row>
    <row r="62" spans="1:2" x14ac:dyDescent="0.55000000000000004">
      <c r="A62" s="5" t="s">
        <v>1092</v>
      </c>
      <c r="B62" s="1">
        <v>1000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78A30-BE7A-458C-8E31-92EC0527BA6A}">
  <dimension ref="A1"/>
  <sheetViews>
    <sheetView tabSelected="1" topLeftCell="A4" zoomScale="62" workbookViewId="0">
      <selection activeCell="H55" sqref="H55"/>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64E2-8A92-402E-8469-58E92446E17C}">
  <dimension ref="A1:X1001"/>
  <sheetViews>
    <sheetView topLeftCell="A970" workbookViewId="0">
      <selection activeCell="H1" sqref="A1:X1001"/>
    </sheetView>
  </sheetViews>
  <sheetFormatPr defaultRowHeight="14.4" x14ac:dyDescent="0.55000000000000004"/>
  <cols>
    <col min="1" max="1" width="13.3671875" bestFit="1" customWidth="1"/>
    <col min="2" max="2" width="16.05078125" bestFit="1" customWidth="1"/>
    <col min="3" max="3" width="5.83984375" bestFit="1" customWidth="1"/>
    <col min="5" max="5" width="9.89453125" bestFit="1" customWidth="1"/>
    <col min="6" max="6" width="10.47265625" bestFit="1" customWidth="1"/>
    <col min="7" max="7" width="11.47265625" bestFit="1" customWidth="1"/>
    <col min="8" max="8" width="8.578125" bestFit="1" customWidth="1"/>
    <col min="9" max="9" width="7.26171875" bestFit="1" customWidth="1"/>
    <col min="10" max="10" width="10.5234375" bestFit="1" customWidth="1"/>
    <col min="11" max="11" width="13.578125" bestFit="1" customWidth="1"/>
    <col min="12" max="12" width="13.89453125" bestFit="1" customWidth="1"/>
    <col min="13" max="13" width="14" bestFit="1" customWidth="1"/>
    <col min="14" max="14" width="19.1015625" bestFit="1" customWidth="1"/>
    <col min="15" max="15" width="10.05078125" bestFit="1" customWidth="1"/>
    <col min="16" max="16" width="11.68359375" bestFit="1" customWidth="1"/>
    <col min="17" max="17" width="14.7890625" bestFit="1" customWidth="1"/>
    <col min="18" max="18" width="15.47265625" bestFit="1" customWidth="1"/>
    <col min="19" max="19" width="10.83984375" bestFit="1" customWidth="1"/>
    <col min="20" max="20" width="9.20703125" bestFit="1" customWidth="1"/>
    <col min="21" max="21" width="16.3125" bestFit="1" customWidth="1"/>
    <col min="22" max="22" width="15" bestFit="1" customWidth="1"/>
    <col min="23" max="23" width="7.9453125" bestFit="1" customWidth="1"/>
    <col min="24" max="24" width="13.1015625" bestFit="1" customWidth="1"/>
  </cols>
  <sheetData>
    <row r="1" spans="1:24"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55000000000000004">
      <c r="A2" s="1" t="s">
        <v>24</v>
      </c>
      <c r="B2" s="1" t="s">
        <v>25</v>
      </c>
      <c r="C2">
        <v>57</v>
      </c>
      <c r="D2" s="1" t="s">
        <v>26</v>
      </c>
      <c r="E2" s="1" t="s">
        <v>27</v>
      </c>
      <c r="F2" s="1" t="s">
        <v>28</v>
      </c>
      <c r="G2" s="1" t="s">
        <v>29</v>
      </c>
      <c r="H2" s="1" t="s">
        <v>30</v>
      </c>
      <c r="I2" s="1" t="s">
        <v>31</v>
      </c>
      <c r="J2" s="1" t="s">
        <v>32</v>
      </c>
      <c r="K2" s="1" t="s">
        <v>33</v>
      </c>
      <c r="L2" s="2">
        <v>46187</v>
      </c>
      <c r="M2" s="2">
        <v>46215</v>
      </c>
      <c r="N2">
        <v>1755743</v>
      </c>
      <c r="O2">
        <v>13846</v>
      </c>
      <c r="P2">
        <v>1741897</v>
      </c>
      <c r="Q2" s="1" t="s">
        <v>34</v>
      </c>
      <c r="R2" s="1" t="s">
        <v>35</v>
      </c>
      <c r="S2" s="1" t="s">
        <v>36</v>
      </c>
      <c r="T2" s="1" t="s">
        <v>37</v>
      </c>
      <c r="U2">
        <v>4.8</v>
      </c>
      <c r="V2" t="s">
        <v>38</v>
      </c>
      <c r="W2">
        <v>7</v>
      </c>
      <c r="X2" s="1" t="s">
        <v>39</v>
      </c>
    </row>
    <row r="3" spans="1:24" x14ac:dyDescent="0.55000000000000004">
      <c r="A3" s="1" t="s">
        <v>40</v>
      </c>
      <c r="B3" s="1" t="s">
        <v>41</v>
      </c>
      <c r="C3">
        <v>22</v>
      </c>
      <c r="D3" s="1" t="s">
        <v>42</v>
      </c>
      <c r="E3" s="1" t="s">
        <v>43</v>
      </c>
      <c r="F3" s="1" t="s">
        <v>44</v>
      </c>
      <c r="G3" s="1" t="s">
        <v>29</v>
      </c>
      <c r="H3" s="1" t="s">
        <v>30</v>
      </c>
      <c r="I3" s="1" t="s">
        <v>45</v>
      </c>
      <c r="J3" s="1" t="s">
        <v>32</v>
      </c>
      <c r="K3" s="1" t="s">
        <v>46</v>
      </c>
      <c r="L3" s="2">
        <v>45964</v>
      </c>
      <c r="M3" s="2">
        <v>45997</v>
      </c>
      <c r="N3">
        <v>1819418</v>
      </c>
      <c r="O3">
        <v>15449</v>
      </c>
      <c r="P3">
        <v>1803969</v>
      </c>
      <c r="Q3" s="1" t="s">
        <v>47</v>
      </c>
      <c r="R3" s="1" t="s">
        <v>48</v>
      </c>
      <c r="S3" s="1" t="s">
        <v>36</v>
      </c>
      <c r="T3" s="1" t="s">
        <v>37</v>
      </c>
      <c r="U3">
        <v>3.6</v>
      </c>
      <c r="V3" t="s">
        <v>38</v>
      </c>
      <c r="W3">
        <v>12</v>
      </c>
      <c r="X3" s="1" t="s">
        <v>49</v>
      </c>
    </row>
    <row r="4" spans="1:24" x14ac:dyDescent="0.55000000000000004">
      <c r="A4" s="1" t="s">
        <v>50</v>
      </c>
      <c r="B4" s="1" t="s">
        <v>51</v>
      </c>
      <c r="C4">
        <v>53</v>
      </c>
      <c r="D4" s="1" t="s">
        <v>26</v>
      </c>
      <c r="E4" s="1" t="s">
        <v>52</v>
      </c>
      <c r="F4" s="1" t="s">
        <v>44</v>
      </c>
      <c r="G4" s="1" t="s">
        <v>29</v>
      </c>
      <c r="H4" s="1" t="s">
        <v>30</v>
      </c>
      <c r="I4" s="1" t="s">
        <v>53</v>
      </c>
      <c r="J4" s="1" t="s">
        <v>54</v>
      </c>
      <c r="K4" s="1" t="s">
        <v>33</v>
      </c>
      <c r="L4" s="2">
        <v>45859</v>
      </c>
      <c r="M4" s="2">
        <v>45873</v>
      </c>
      <c r="N4">
        <v>1351540</v>
      </c>
      <c r="O4">
        <v>91411</v>
      </c>
      <c r="P4">
        <v>1260129</v>
      </c>
      <c r="Q4" s="1" t="s">
        <v>55</v>
      </c>
      <c r="R4" s="1" t="s">
        <v>35</v>
      </c>
      <c r="S4" s="1" t="s">
        <v>37</v>
      </c>
      <c r="T4" s="1" t="s">
        <v>37</v>
      </c>
      <c r="U4">
        <v>3.1</v>
      </c>
      <c r="V4" t="s">
        <v>56</v>
      </c>
      <c r="W4">
        <v>8</v>
      </c>
      <c r="X4" s="1" t="s">
        <v>57</v>
      </c>
    </row>
    <row r="5" spans="1:24" x14ac:dyDescent="0.55000000000000004">
      <c r="A5" s="1" t="s">
        <v>58</v>
      </c>
      <c r="B5" s="1" t="s">
        <v>25</v>
      </c>
      <c r="C5">
        <v>39</v>
      </c>
      <c r="D5" s="1" t="s">
        <v>42</v>
      </c>
      <c r="E5" s="1" t="s">
        <v>27</v>
      </c>
      <c r="F5" s="1" t="s">
        <v>28</v>
      </c>
      <c r="G5" s="1" t="s">
        <v>29</v>
      </c>
      <c r="H5" s="1" t="s">
        <v>30</v>
      </c>
      <c r="I5" s="1" t="s">
        <v>59</v>
      </c>
      <c r="J5" s="1" t="s">
        <v>32</v>
      </c>
      <c r="K5" s="1" t="s">
        <v>33</v>
      </c>
      <c r="L5" s="2">
        <v>45958</v>
      </c>
      <c r="M5" s="2">
        <v>45977</v>
      </c>
      <c r="N5">
        <v>1531697</v>
      </c>
      <c r="O5">
        <v>56853</v>
      </c>
      <c r="P5">
        <v>1474844</v>
      </c>
      <c r="Q5" s="1" t="s">
        <v>55</v>
      </c>
      <c r="R5" s="1" t="s">
        <v>35</v>
      </c>
      <c r="S5" s="1" t="s">
        <v>37</v>
      </c>
      <c r="T5" s="1" t="s">
        <v>37</v>
      </c>
      <c r="U5">
        <v>3.4</v>
      </c>
      <c r="V5" t="s">
        <v>56</v>
      </c>
      <c r="W5">
        <v>11</v>
      </c>
      <c r="X5" s="1" t="s">
        <v>60</v>
      </c>
    </row>
    <row r="6" spans="1:24" x14ac:dyDescent="0.55000000000000004">
      <c r="A6" s="1" t="s">
        <v>61</v>
      </c>
      <c r="B6" s="1" t="s">
        <v>62</v>
      </c>
      <c r="C6">
        <v>23</v>
      </c>
      <c r="D6" s="1" t="s">
        <v>26</v>
      </c>
      <c r="E6" s="1" t="s">
        <v>43</v>
      </c>
      <c r="F6" s="1" t="s">
        <v>44</v>
      </c>
      <c r="G6" s="1" t="s">
        <v>29</v>
      </c>
      <c r="H6" s="1" t="s">
        <v>30</v>
      </c>
      <c r="I6" s="1" t="s">
        <v>53</v>
      </c>
      <c r="J6" s="1" t="s">
        <v>54</v>
      </c>
      <c r="K6" s="1" t="s">
        <v>46</v>
      </c>
      <c r="L6" s="2">
        <v>46090</v>
      </c>
      <c r="M6" s="2">
        <v>46116</v>
      </c>
      <c r="N6">
        <v>1856277</v>
      </c>
      <c r="O6">
        <v>53036</v>
      </c>
      <c r="P6">
        <v>1803241</v>
      </c>
      <c r="Q6" s="1" t="s">
        <v>47</v>
      </c>
      <c r="R6" s="1" t="s">
        <v>35</v>
      </c>
      <c r="S6" s="1" t="s">
        <v>36</v>
      </c>
      <c r="T6" s="1" t="s">
        <v>36</v>
      </c>
      <c r="U6">
        <v>5</v>
      </c>
      <c r="V6" t="s">
        <v>38</v>
      </c>
      <c r="W6">
        <v>4</v>
      </c>
      <c r="X6" s="1" t="s">
        <v>63</v>
      </c>
    </row>
    <row r="7" spans="1:24" x14ac:dyDescent="0.55000000000000004">
      <c r="A7" s="1" t="s">
        <v>64</v>
      </c>
      <c r="B7" s="1" t="s">
        <v>62</v>
      </c>
      <c r="C7">
        <v>46</v>
      </c>
      <c r="D7" s="1" t="s">
        <v>42</v>
      </c>
      <c r="E7" s="1" t="s">
        <v>43</v>
      </c>
      <c r="F7" s="1" t="s">
        <v>44</v>
      </c>
      <c r="G7" s="1" t="s">
        <v>29</v>
      </c>
      <c r="H7" s="1" t="s">
        <v>65</v>
      </c>
      <c r="I7" s="1" t="s">
        <v>45</v>
      </c>
      <c r="J7" s="1" t="s">
        <v>32</v>
      </c>
      <c r="K7" s="1" t="s">
        <v>33</v>
      </c>
      <c r="L7" s="2">
        <v>45791</v>
      </c>
      <c r="M7" s="2">
        <v>45817</v>
      </c>
      <c r="N7">
        <v>1403128</v>
      </c>
      <c r="O7">
        <v>13866</v>
      </c>
      <c r="P7">
        <v>1389262</v>
      </c>
      <c r="Q7" s="1" t="s">
        <v>66</v>
      </c>
      <c r="R7" s="1" t="s">
        <v>67</v>
      </c>
      <c r="S7" s="1" t="s">
        <v>36</v>
      </c>
      <c r="T7" s="1" t="s">
        <v>36</v>
      </c>
      <c r="U7">
        <v>4.9000000000000004</v>
      </c>
      <c r="V7" t="s">
        <v>38</v>
      </c>
      <c r="W7">
        <v>6</v>
      </c>
      <c r="X7" s="1" t="s">
        <v>68</v>
      </c>
    </row>
    <row r="8" spans="1:24" x14ac:dyDescent="0.55000000000000004">
      <c r="A8" s="1" t="s">
        <v>69</v>
      </c>
      <c r="B8" s="1" t="s">
        <v>70</v>
      </c>
      <c r="C8">
        <v>48</v>
      </c>
      <c r="D8" s="1" t="s">
        <v>26</v>
      </c>
      <c r="E8" s="1" t="s">
        <v>71</v>
      </c>
      <c r="F8" s="1" t="s">
        <v>72</v>
      </c>
      <c r="G8" s="1" t="s">
        <v>29</v>
      </c>
      <c r="H8" s="1" t="s">
        <v>30</v>
      </c>
      <c r="I8" s="1" t="s">
        <v>53</v>
      </c>
      <c r="J8" s="1" t="s">
        <v>32</v>
      </c>
      <c r="K8" s="1" t="s">
        <v>46</v>
      </c>
      <c r="L8" s="2">
        <v>45985</v>
      </c>
      <c r="M8" s="2">
        <v>45998</v>
      </c>
      <c r="N8">
        <v>1633498</v>
      </c>
      <c r="O8">
        <v>90281</v>
      </c>
      <c r="P8">
        <v>1543217</v>
      </c>
      <c r="Q8" s="1" t="s">
        <v>66</v>
      </c>
      <c r="R8" s="1" t="s">
        <v>35</v>
      </c>
      <c r="S8" s="1" t="s">
        <v>37</v>
      </c>
      <c r="T8" s="1" t="s">
        <v>36</v>
      </c>
      <c r="U8">
        <v>4.7</v>
      </c>
      <c r="V8" t="s">
        <v>56</v>
      </c>
      <c r="W8">
        <v>12</v>
      </c>
      <c r="X8" s="1" t="s">
        <v>49</v>
      </c>
    </row>
    <row r="9" spans="1:24" x14ac:dyDescent="0.55000000000000004">
      <c r="A9" s="1" t="s">
        <v>73</v>
      </c>
      <c r="B9" s="1" t="s">
        <v>25</v>
      </c>
      <c r="C9">
        <v>24</v>
      </c>
      <c r="D9" s="1" t="s">
        <v>42</v>
      </c>
      <c r="E9" s="1" t="s">
        <v>52</v>
      </c>
      <c r="F9" s="1" t="s">
        <v>44</v>
      </c>
      <c r="G9" s="1" t="s">
        <v>29</v>
      </c>
      <c r="H9" s="1" t="s">
        <v>65</v>
      </c>
      <c r="I9" s="1" t="s">
        <v>74</v>
      </c>
      <c r="J9" s="1" t="s">
        <v>32</v>
      </c>
      <c r="K9" s="1" t="s">
        <v>46</v>
      </c>
      <c r="L9" s="2">
        <v>45902</v>
      </c>
      <c r="M9" s="2">
        <v>45939</v>
      </c>
      <c r="N9">
        <v>1572313</v>
      </c>
      <c r="O9">
        <v>13817</v>
      </c>
      <c r="P9">
        <v>1558496</v>
      </c>
      <c r="Q9" s="1" t="s">
        <v>47</v>
      </c>
      <c r="R9" s="1" t="s">
        <v>35</v>
      </c>
      <c r="S9" s="1" t="s">
        <v>36</v>
      </c>
      <c r="T9" s="1" t="s">
        <v>37</v>
      </c>
      <c r="U9">
        <v>3.6</v>
      </c>
      <c r="V9" t="s">
        <v>38</v>
      </c>
      <c r="W9">
        <v>10</v>
      </c>
      <c r="X9" s="1" t="s">
        <v>75</v>
      </c>
    </row>
    <row r="10" spans="1:24" x14ac:dyDescent="0.55000000000000004">
      <c r="A10" s="1" t="s">
        <v>76</v>
      </c>
      <c r="B10" s="1" t="s">
        <v>41</v>
      </c>
      <c r="C10">
        <v>46</v>
      </c>
      <c r="D10" s="1" t="s">
        <v>42</v>
      </c>
      <c r="E10" s="1" t="s">
        <v>71</v>
      </c>
      <c r="F10" s="1" t="s">
        <v>72</v>
      </c>
      <c r="G10" s="1" t="s">
        <v>29</v>
      </c>
      <c r="H10" s="1" t="s">
        <v>77</v>
      </c>
      <c r="I10" s="1" t="s">
        <v>59</v>
      </c>
      <c r="J10" s="1" t="s">
        <v>32</v>
      </c>
      <c r="K10" s="1" t="s">
        <v>46</v>
      </c>
      <c r="L10" s="2">
        <v>45861</v>
      </c>
      <c r="M10" s="2">
        <v>45883</v>
      </c>
      <c r="N10">
        <v>1469275</v>
      </c>
      <c r="O10">
        <v>86655</v>
      </c>
      <c r="P10">
        <v>1382620</v>
      </c>
      <c r="Q10" s="1" t="s">
        <v>78</v>
      </c>
      <c r="R10" s="1" t="s">
        <v>79</v>
      </c>
      <c r="S10" s="1" t="s">
        <v>37</v>
      </c>
      <c r="T10" s="1" t="s">
        <v>37</v>
      </c>
      <c r="U10">
        <v>3.8</v>
      </c>
      <c r="V10" t="s">
        <v>38</v>
      </c>
      <c r="W10">
        <v>8</v>
      </c>
      <c r="X10" s="1" t="s">
        <v>57</v>
      </c>
    </row>
    <row r="11" spans="1:24" x14ac:dyDescent="0.55000000000000004">
      <c r="A11" s="1" t="s">
        <v>80</v>
      </c>
      <c r="B11" s="1" t="s">
        <v>81</v>
      </c>
      <c r="C11">
        <v>54</v>
      </c>
      <c r="D11" s="1" t="s">
        <v>26</v>
      </c>
      <c r="E11" s="1" t="s">
        <v>43</v>
      </c>
      <c r="F11" s="1" t="s">
        <v>44</v>
      </c>
      <c r="G11" s="1" t="s">
        <v>29</v>
      </c>
      <c r="H11" s="1" t="s">
        <v>65</v>
      </c>
      <c r="I11" s="1" t="s">
        <v>45</v>
      </c>
      <c r="J11" s="1" t="s">
        <v>54</v>
      </c>
      <c r="K11" s="1" t="s">
        <v>46</v>
      </c>
      <c r="L11" s="2">
        <v>45851</v>
      </c>
      <c r="M11" s="2">
        <v>45872</v>
      </c>
      <c r="N11">
        <v>1757070</v>
      </c>
      <c r="O11">
        <v>20398</v>
      </c>
      <c r="P11">
        <v>1736672</v>
      </c>
      <c r="Q11" s="1" t="s">
        <v>78</v>
      </c>
      <c r="R11" s="1" t="s">
        <v>79</v>
      </c>
      <c r="S11" s="1" t="s">
        <v>37</v>
      </c>
      <c r="T11" s="1" t="s">
        <v>36</v>
      </c>
      <c r="U11">
        <v>3.9</v>
      </c>
      <c r="V11" t="s">
        <v>38</v>
      </c>
      <c r="W11">
        <v>8</v>
      </c>
      <c r="X11" s="1" t="s">
        <v>57</v>
      </c>
    </row>
    <row r="12" spans="1:24" x14ac:dyDescent="0.55000000000000004">
      <c r="A12" s="1" t="s">
        <v>82</v>
      </c>
      <c r="B12" s="1" t="s">
        <v>83</v>
      </c>
      <c r="C12">
        <v>30</v>
      </c>
      <c r="D12" s="1" t="s">
        <v>42</v>
      </c>
      <c r="E12" s="1" t="s">
        <v>84</v>
      </c>
      <c r="F12" s="1" t="s">
        <v>85</v>
      </c>
      <c r="G12" s="1" t="s">
        <v>29</v>
      </c>
      <c r="H12" s="1" t="s">
        <v>65</v>
      </c>
      <c r="I12" s="1" t="s">
        <v>31</v>
      </c>
      <c r="J12" s="1" t="s">
        <v>54</v>
      </c>
      <c r="K12" s="1" t="s">
        <v>46</v>
      </c>
      <c r="L12" s="2">
        <v>45777</v>
      </c>
      <c r="M12" s="2">
        <v>45797</v>
      </c>
      <c r="N12">
        <v>1879221</v>
      </c>
      <c r="O12">
        <v>93461</v>
      </c>
      <c r="P12">
        <v>1785760</v>
      </c>
      <c r="Q12" s="1" t="s">
        <v>47</v>
      </c>
      <c r="R12" s="1" t="s">
        <v>67</v>
      </c>
      <c r="S12" s="1" t="s">
        <v>36</v>
      </c>
      <c r="T12" s="1" t="s">
        <v>36</v>
      </c>
      <c r="U12">
        <v>3.4</v>
      </c>
      <c r="V12" t="s">
        <v>56</v>
      </c>
      <c r="W12">
        <v>5</v>
      </c>
      <c r="X12" s="1" t="s">
        <v>86</v>
      </c>
    </row>
    <row r="13" spans="1:24" x14ac:dyDescent="0.55000000000000004">
      <c r="A13" s="1" t="s">
        <v>87</v>
      </c>
      <c r="B13" s="1" t="s">
        <v>81</v>
      </c>
      <c r="C13">
        <v>34</v>
      </c>
      <c r="D13" s="1" t="s">
        <v>42</v>
      </c>
      <c r="E13" s="1" t="s">
        <v>84</v>
      </c>
      <c r="F13" s="1" t="s">
        <v>85</v>
      </c>
      <c r="G13" s="1" t="s">
        <v>29</v>
      </c>
      <c r="H13" s="1" t="s">
        <v>77</v>
      </c>
      <c r="I13" s="1" t="s">
        <v>59</v>
      </c>
      <c r="J13" s="1" t="s">
        <v>32</v>
      </c>
      <c r="K13" s="1" t="s">
        <v>33</v>
      </c>
      <c r="L13" s="2">
        <v>46011</v>
      </c>
      <c r="M13" s="2">
        <v>46041</v>
      </c>
      <c r="N13">
        <v>1797480</v>
      </c>
      <c r="O13">
        <v>66498</v>
      </c>
      <c r="P13">
        <v>1730982</v>
      </c>
      <c r="Q13" s="1" t="s">
        <v>78</v>
      </c>
      <c r="R13" s="1" t="s">
        <v>79</v>
      </c>
      <c r="S13" s="1" t="s">
        <v>36</v>
      </c>
      <c r="T13" s="1" t="s">
        <v>37</v>
      </c>
      <c r="U13">
        <v>4.4000000000000004</v>
      </c>
      <c r="V13" t="s">
        <v>38</v>
      </c>
      <c r="W13">
        <v>1</v>
      </c>
      <c r="X13" s="1" t="s">
        <v>88</v>
      </c>
    </row>
    <row r="14" spans="1:24" x14ac:dyDescent="0.55000000000000004">
      <c r="A14" s="1" t="s">
        <v>89</v>
      </c>
      <c r="B14" s="1" t="s">
        <v>81</v>
      </c>
      <c r="C14">
        <v>32</v>
      </c>
      <c r="D14" s="1" t="s">
        <v>26</v>
      </c>
      <c r="E14" s="1" t="s">
        <v>90</v>
      </c>
      <c r="F14" s="1" t="s">
        <v>44</v>
      </c>
      <c r="G14" s="1" t="s">
        <v>29</v>
      </c>
      <c r="H14" s="1" t="s">
        <v>30</v>
      </c>
      <c r="I14" s="1" t="s">
        <v>53</v>
      </c>
      <c r="J14" s="1" t="s">
        <v>54</v>
      </c>
      <c r="K14" s="1" t="s">
        <v>46</v>
      </c>
      <c r="L14" s="2">
        <v>46117</v>
      </c>
      <c r="M14" s="2">
        <v>46124</v>
      </c>
      <c r="N14">
        <v>1530369</v>
      </c>
      <c r="O14">
        <v>87251</v>
      </c>
      <c r="P14">
        <v>1443118</v>
      </c>
      <c r="Q14" s="1" t="s">
        <v>55</v>
      </c>
      <c r="R14" s="1" t="s">
        <v>48</v>
      </c>
      <c r="S14" s="1" t="s">
        <v>36</v>
      </c>
      <c r="T14" s="1" t="s">
        <v>37</v>
      </c>
      <c r="U14">
        <v>4.8</v>
      </c>
      <c r="V14" t="s">
        <v>91</v>
      </c>
      <c r="W14">
        <v>4</v>
      </c>
      <c r="X14" s="1" t="s">
        <v>63</v>
      </c>
    </row>
    <row r="15" spans="1:24" x14ac:dyDescent="0.55000000000000004">
      <c r="A15" s="1" t="s">
        <v>92</v>
      </c>
      <c r="B15" s="1" t="s">
        <v>93</v>
      </c>
      <c r="C15">
        <v>53</v>
      </c>
      <c r="D15" s="1" t="s">
        <v>26</v>
      </c>
      <c r="E15" s="1" t="s">
        <v>27</v>
      </c>
      <c r="F15" s="1" t="s">
        <v>28</v>
      </c>
      <c r="G15" s="1" t="s">
        <v>29</v>
      </c>
      <c r="H15" s="1" t="s">
        <v>30</v>
      </c>
      <c r="I15" s="1" t="s">
        <v>45</v>
      </c>
      <c r="J15" s="1" t="s">
        <v>32</v>
      </c>
      <c r="K15" s="1" t="s">
        <v>46</v>
      </c>
      <c r="L15" s="2">
        <v>45827</v>
      </c>
      <c r="M15" s="2">
        <v>45846</v>
      </c>
      <c r="N15">
        <v>1418671</v>
      </c>
      <c r="O15">
        <v>28648</v>
      </c>
      <c r="P15">
        <v>1390023</v>
      </c>
      <c r="Q15" s="1" t="s">
        <v>47</v>
      </c>
      <c r="R15" s="1" t="s">
        <v>67</v>
      </c>
      <c r="S15" s="1" t="s">
        <v>37</v>
      </c>
      <c r="T15" s="1" t="s">
        <v>36</v>
      </c>
      <c r="U15">
        <v>3.1</v>
      </c>
      <c r="V15" t="s">
        <v>56</v>
      </c>
      <c r="W15">
        <v>7</v>
      </c>
      <c r="X15" s="1" t="s">
        <v>39</v>
      </c>
    </row>
    <row r="16" spans="1:24" x14ac:dyDescent="0.55000000000000004">
      <c r="A16" s="1" t="s">
        <v>94</v>
      </c>
      <c r="B16" s="1" t="s">
        <v>62</v>
      </c>
      <c r="C16">
        <v>23</v>
      </c>
      <c r="D16" s="1" t="s">
        <v>26</v>
      </c>
      <c r="E16" s="1" t="s">
        <v>27</v>
      </c>
      <c r="F16" s="1" t="s">
        <v>28</v>
      </c>
      <c r="G16" s="1" t="s">
        <v>29</v>
      </c>
      <c r="H16" s="1" t="s">
        <v>30</v>
      </c>
      <c r="I16" s="1" t="s">
        <v>31</v>
      </c>
      <c r="J16" s="1" t="s">
        <v>54</v>
      </c>
      <c r="K16" s="1" t="s">
        <v>33</v>
      </c>
      <c r="L16" s="2">
        <v>45737</v>
      </c>
      <c r="M16" s="2">
        <v>45763</v>
      </c>
      <c r="N16">
        <v>1771464</v>
      </c>
      <c r="O16">
        <v>55656</v>
      </c>
      <c r="P16">
        <v>1715808</v>
      </c>
      <c r="Q16" s="1" t="s">
        <v>66</v>
      </c>
      <c r="R16" s="1" t="s">
        <v>79</v>
      </c>
      <c r="S16" s="1" t="s">
        <v>37</v>
      </c>
      <c r="T16" s="1" t="s">
        <v>36</v>
      </c>
      <c r="U16">
        <v>4</v>
      </c>
      <c r="V16" t="s">
        <v>38</v>
      </c>
      <c r="W16">
        <v>4</v>
      </c>
      <c r="X16" s="1" t="s">
        <v>63</v>
      </c>
    </row>
    <row r="17" spans="1:24" x14ac:dyDescent="0.55000000000000004">
      <c r="A17" s="1" t="s">
        <v>95</v>
      </c>
      <c r="B17" s="1" t="s">
        <v>81</v>
      </c>
      <c r="C17">
        <v>48</v>
      </c>
      <c r="D17" s="1" t="s">
        <v>26</v>
      </c>
      <c r="E17" s="1" t="s">
        <v>52</v>
      </c>
      <c r="F17" s="1" t="s">
        <v>44</v>
      </c>
      <c r="G17" s="1" t="s">
        <v>29</v>
      </c>
      <c r="H17" s="1" t="s">
        <v>30</v>
      </c>
      <c r="I17" s="1" t="s">
        <v>53</v>
      </c>
      <c r="J17" s="1" t="s">
        <v>54</v>
      </c>
      <c r="K17" s="1" t="s">
        <v>33</v>
      </c>
      <c r="L17" s="2">
        <v>45711</v>
      </c>
      <c r="M17" s="2">
        <v>45734</v>
      </c>
      <c r="N17">
        <v>1633686</v>
      </c>
      <c r="O17">
        <v>63251</v>
      </c>
      <c r="P17">
        <v>1570435</v>
      </c>
      <c r="Q17" s="1" t="s">
        <v>55</v>
      </c>
      <c r="R17" s="1" t="s">
        <v>67</v>
      </c>
      <c r="S17" s="1" t="s">
        <v>37</v>
      </c>
      <c r="T17" s="1" t="s">
        <v>37</v>
      </c>
      <c r="U17">
        <v>3</v>
      </c>
      <c r="V17" t="s">
        <v>38</v>
      </c>
      <c r="W17">
        <v>3</v>
      </c>
      <c r="X17" s="1" t="s">
        <v>96</v>
      </c>
    </row>
    <row r="18" spans="1:24" x14ac:dyDescent="0.55000000000000004">
      <c r="A18" s="1" t="s">
        <v>97</v>
      </c>
      <c r="B18" s="1" t="s">
        <v>98</v>
      </c>
      <c r="C18">
        <v>26</v>
      </c>
      <c r="D18" s="1" t="s">
        <v>26</v>
      </c>
      <c r="E18" s="1" t="s">
        <v>84</v>
      </c>
      <c r="F18" s="1" t="s">
        <v>85</v>
      </c>
      <c r="G18" s="1" t="s">
        <v>29</v>
      </c>
      <c r="H18" s="1" t="s">
        <v>65</v>
      </c>
      <c r="I18" s="1" t="s">
        <v>53</v>
      </c>
      <c r="J18" s="1" t="s">
        <v>32</v>
      </c>
      <c r="K18" s="1" t="s">
        <v>46</v>
      </c>
      <c r="L18" s="2">
        <v>46162</v>
      </c>
      <c r="M18" s="2">
        <v>46198</v>
      </c>
      <c r="N18">
        <v>1466839</v>
      </c>
      <c r="O18">
        <v>39615</v>
      </c>
      <c r="P18">
        <v>1427224</v>
      </c>
      <c r="Q18" s="1" t="s">
        <v>34</v>
      </c>
      <c r="R18" s="1" t="s">
        <v>48</v>
      </c>
      <c r="S18" s="1" t="s">
        <v>37</v>
      </c>
      <c r="T18" s="1" t="s">
        <v>36</v>
      </c>
      <c r="U18">
        <v>3.3</v>
      </c>
      <c r="V18" t="s">
        <v>38</v>
      </c>
      <c r="W18">
        <v>6</v>
      </c>
      <c r="X18" s="1" t="s">
        <v>68</v>
      </c>
    </row>
    <row r="19" spans="1:24" x14ac:dyDescent="0.55000000000000004">
      <c r="A19" s="1" t="s">
        <v>99</v>
      </c>
      <c r="B19" s="1" t="s">
        <v>93</v>
      </c>
      <c r="C19">
        <v>34</v>
      </c>
      <c r="D19" s="1" t="s">
        <v>26</v>
      </c>
      <c r="E19" s="1" t="s">
        <v>43</v>
      </c>
      <c r="F19" s="1" t="s">
        <v>44</v>
      </c>
      <c r="G19" s="1" t="s">
        <v>29</v>
      </c>
      <c r="H19" s="1" t="s">
        <v>65</v>
      </c>
      <c r="I19" s="1" t="s">
        <v>45</v>
      </c>
      <c r="J19" s="1" t="s">
        <v>32</v>
      </c>
      <c r="K19" s="1" t="s">
        <v>33</v>
      </c>
      <c r="L19" s="2">
        <v>45941</v>
      </c>
      <c r="M19" s="2">
        <v>45972</v>
      </c>
      <c r="N19">
        <v>1729106</v>
      </c>
      <c r="O19">
        <v>63364</v>
      </c>
      <c r="P19">
        <v>1665742</v>
      </c>
      <c r="Q19" s="1" t="s">
        <v>66</v>
      </c>
      <c r="R19" s="1" t="s">
        <v>35</v>
      </c>
      <c r="S19" s="1" t="s">
        <v>36</v>
      </c>
      <c r="T19" s="1" t="s">
        <v>37</v>
      </c>
      <c r="U19">
        <v>4.3</v>
      </c>
      <c r="V19" t="s">
        <v>38</v>
      </c>
      <c r="W19">
        <v>11</v>
      </c>
      <c r="X19" s="1" t="s">
        <v>60</v>
      </c>
    </row>
    <row r="20" spans="1:24" x14ac:dyDescent="0.55000000000000004">
      <c r="A20" s="1" t="s">
        <v>100</v>
      </c>
      <c r="B20" s="1" t="s">
        <v>81</v>
      </c>
      <c r="C20">
        <v>32</v>
      </c>
      <c r="D20" s="1" t="s">
        <v>26</v>
      </c>
      <c r="E20" s="1" t="s">
        <v>84</v>
      </c>
      <c r="F20" s="1" t="s">
        <v>85</v>
      </c>
      <c r="G20" s="1" t="s">
        <v>29</v>
      </c>
      <c r="H20" s="1" t="s">
        <v>30</v>
      </c>
      <c r="I20" s="1" t="s">
        <v>59</v>
      </c>
      <c r="J20" s="1" t="s">
        <v>54</v>
      </c>
      <c r="K20" s="1" t="s">
        <v>33</v>
      </c>
      <c r="L20" s="2">
        <v>45795</v>
      </c>
      <c r="M20" s="2">
        <v>45803</v>
      </c>
      <c r="N20">
        <v>1715875</v>
      </c>
      <c r="O20">
        <v>40335</v>
      </c>
      <c r="P20">
        <v>1675540</v>
      </c>
      <c r="Q20" s="1" t="s">
        <v>55</v>
      </c>
      <c r="R20" s="1" t="s">
        <v>79</v>
      </c>
      <c r="S20" s="1" t="s">
        <v>36</v>
      </c>
      <c r="T20" s="1" t="s">
        <v>36</v>
      </c>
      <c r="U20">
        <v>3.7</v>
      </c>
      <c r="V20" t="s">
        <v>91</v>
      </c>
      <c r="W20">
        <v>5</v>
      </c>
      <c r="X20" s="1" t="s">
        <v>86</v>
      </c>
    </row>
    <row r="21" spans="1:24" x14ac:dyDescent="0.55000000000000004">
      <c r="A21" s="1" t="s">
        <v>101</v>
      </c>
      <c r="B21" s="1" t="s">
        <v>81</v>
      </c>
      <c r="C21">
        <v>36</v>
      </c>
      <c r="D21" s="1" t="s">
        <v>42</v>
      </c>
      <c r="E21" s="1" t="s">
        <v>43</v>
      </c>
      <c r="F21" s="1" t="s">
        <v>44</v>
      </c>
      <c r="G21" s="1" t="s">
        <v>29</v>
      </c>
      <c r="H21" s="1" t="s">
        <v>65</v>
      </c>
      <c r="I21" s="1" t="s">
        <v>45</v>
      </c>
      <c r="J21" s="1" t="s">
        <v>54</v>
      </c>
      <c r="K21" s="1" t="s">
        <v>33</v>
      </c>
      <c r="L21" s="2">
        <v>46002</v>
      </c>
      <c r="M21" s="2">
        <v>46022</v>
      </c>
      <c r="N21">
        <v>1326176</v>
      </c>
      <c r="O21">
        <v>35470</v>
      </c>
      <c r="P21">
        <v>1290706</v>
      </c>
      <c r="Q21" s="1" t="s">
        <v>66</v>
      </c>
      <c r="R21" s="1" t="s">
        <v>79</v>
      </c>
      <c r="S21" s="1" t="s">
        <v>37</v>
      </c>
      <c r="T21" s="1" t="s">
        <v>36</v>
      </c>
      <c r="U21">
        <v>4.5999999999999996</v>
      </c>
      <c r="V21" t="s">
        <v>56</v>
      </c>
      <c r="W21">
        <v>12</v>
      </c>
      <c r="X21" s="1" t="s">
        <v>49</v>
      </c>
    </row>
    <row r="22" spans="1:24" x14ac:dyDescent="0.55000000000000004">
      <c r="A22" s="1" t="s">
        <v>102</v>
      </c>
      <c r="B22" s="1" t="s">
        <v>51</v>
      </c>
      <c r="C22">
        <v>28</v>
      </c>
      <c r="D22" s="1" t="s">
        <v>26</v>
      </c>
      <c r="E22" s="1" t="s">
        <v>90</v>
      </c>
      <c r="F22" s="1" t="s">
        <v>44</v>
      </c>
      <c r="G22" s="1" t="s">
        <v>29</v>
      </c>
      <c r="H22" s="1" t="s">
        <v>65</v>
      </c>
      <c r="I22" s="1" t="s">
        <v>74</v>
      </c>
      <c r="J22" s="1" t="s">
        <v>54</v>
      </c>
      <c r="K22" s="1" t="s">
        <v>33</v>
      </c>
      <c r="L22" s="2">
        <v>45862</v>
      </c>
      <c r="M22" s="2">
        <v>45905</v>
      </c>
      <c r="N22">
        <v>1738519</v>
      </c>
      <c r="O22">
        <v>44111</v>
      </c>
      <c r="P22">
        <v>1694408</v>
      </c>
      <c r="Q22" s="1" t="s">
        <v>78</v>
      </c>
      <c r="R22" s="1" t="s">
        <v>67</v>
      </c>
      <c r="S22" s="1" t="s">
        <v>36</v>
      </c>
      <c r="T22" s="1" t="s">
        <v>37</v>
      </c>
      <c r="U22">
        <v>4.2</v>
      </c>
      <c r="V22" t="s">
        <v>38</v>
      </c>
      <c r="W22">
        <v>9</v>
      </c>
      <c r="X22" s="1" t="s">
        <v>103</v>
      </c>
    </row>
    <row r="23" spans="1:24" x14ac:dyDescent="0.55000000000000004">
      <c r="A23" s="1" t="s">
        <v>104</v>
      </c>
      <c r="B23" s="1" t="s">
        <v>105</v>
      </c>
      <c r="C23">
        <v>53</v>
      </c>
      <c r="D23" s="1" t="s">
        <v>42</v>
      </c>
      <c r="E23" s="1" t="s">
        <v>90</v>
      </c>
      <c r="F23" s="1" t="s">
        <v>44</v>
      </c>
      <c r="G23" s="1" t="s">
        <v>29</v>
      </c>
      <c r="H23" s="1" t="s">
        <v>30</v>
      </c>
      <c r="I23" s="1" t="s">
        <v>74</v>
      </c>
      <c r="J23" s="1" t="s">
        <v>54</v>
      </c>
      <c r="K23" s="1" t="s">
        <v>46</v>
      </c>
      <c r="L23" s="2">
        <v>46150</v>
      </c>
      <c r="M23" s="2">
        <v>46187</v>
      </c>
      <c r="N23">
        <v>1564755</v>
      </c>
      <c r="O23">
        <v>29125</v>
      </c>
      <c r="P23">
        <v>1535630</v>
      </c>
      <c r="Q23" s="1" t="s">
        <v>66</v>
      </c>
      <c r="R23" s="1" t="s">
        <v>79</v>
      </c>
      <c r="S23" s="1" t="s">
        <v>36</v>
      </c>
      <c r="T23" s="1" t="s">
        <v>37</v>
      </c>
      <c r="U23">
        <v>3.8</v>
      </c>
      <c r="V23" t="s">
        <v>38</v>
      </c>
      <c r="W23">
        <v>6</v>
      </c>
      <c r="X23" s="1" t="s">
        <v>68</v>
      </c>
    </row>
    <row r="24" spans="1:24" x14ac:dyDescent="0.55000000000000004">
      <c r="A24" s="1" t="s">
        <v>106</v>
      </c>
      <c r="B24" s="1" t="s">
        <v>51</v>
      </c>
      <c r="C24">
        <v>28</v>
      </c>
      <c r="D24" s="1" t="s">
        <v>26</v>
      </c>
      <c r="E24" s="1" t="s">
        <v>43</v>
      </c>
      <c r="F24" s="1" t="s">
        <v>44</v>
      </c>
      <c r="G24" s="1" t="s">
        <v>29</v>
      </c>
      <c r="H24" s="1" t="s">
        <v>30</v>
      </c>
      <c r="I24" s="1" t="s">
        <v>53</v>
      </c>
      <c r="J24" s="1" t="s">
        <v>32</v>
      </c>
      <c r="K24" s="1" t="s">
        <v>46</v>
      </c>
      <c r="L24" s="2">
        <v>45706</v>
      </c>
      <c r="M24" s="2">
        <v>45715</v>
      </c>
      <c r="N24">
        <v>1560284</v>
      </c>
      <c r="O24">
        <v>69829</v>
      </c>
      <c r="P24">
        <v>1490455</v>
      </c>
      <c r="Q24" s="1" t="s">
        <v>78</v>
      </c>
      <c r="R24" s="1" t="s">
        <v>48</v>
      </c>
      <c r="S24" s="1" t="s">
        <v>36</v>
      </c>
      <c r="T24" s="1" t="s">
        <v>37</v>
      </c>
      <c r="U24">
        <v>3</v>
      </c>
      <c r="V24" t="s">
        <v>91</v>
      </c>
      <c r="W24">
        <v>2</v>
      </c>
      <c r="X24" s="1" t="s">
        <v>107</v>
      </c>
    </row>
    <row r="25" spans="1:24" x14ac:dyDescent="0.55000000000000004">
      <c r="A25" s="1" t="s">
        <v>108</v>
      </c>
      <c r="B25" s="1" t="s">
        <v>83</v>
      </c>
      <c r="C25">
        <v>27</v>
      </c>
      <c r="D25" s="1" t="s">
        <v>42</v>
      </c>
      <c r="E25" s="1" t="s">
        <v>52</v>
      </c>
      <c r="F25" s="1" t="s">
        <v>44</v>
      </c>
      <c r="G25" s="1" t="s">
        <v>29</v>
      </c>
      <c r="H25" s="1" t="s">
        <v>65</v>
      </c>
      <c r="I25" s="1" t="s">
        <v>59</v>
      </c>
      <c r="J25" s="1" t="s">
        <v>54</v>
      </c>
      <c r="K25" s="1" t="s">
        <v>46</v>
      </c>
      <c r="L25" s="2">
        <v>46113</v>
      </c>
      <c r="M25" s="2">
        <v>46125</v>
      </c>
      <c r="N25">
        <v>1341915</v>
      </c>
      <c r="O25">
        <v>11203</v>
      </c>
      <c r="P25">
        <v>1330712</v>
      </c>
      <c r="Q25" s="1" t="s">
        <v>66</v>
      </c>
      <c r="R25" s="1" t="s">
        <v>109</v>
      </c>
      <c r="S25" s="1" t="s">
        <v>37</v>
      </c>
      <c r="T25" s="1" t="s">
        <v>36</v>
      </c>
      <c r="U25">
        <v>4.2</v>
      </c>
      <c r="V25" t="s">
        <v>56</v>
      </c>
      <c r="W25">
        <v>4</v>
      </c>
      <c r="X25" s="1" t="s">
        <v>63</v>
      </c>
    </row>
    <row r="26" spans="1:24" x14ac:dyDescent="0.55000000000000004">
      <c r="A26" s="1" t="s">
        <v>110</v>
      </c>
      <c r="B26" s="1" t="s">
        <v>105</v>
      </c>
      <c r="C26">
        <v>26</v>
      </c>
      <c r="D26" s="1" t="s">
        <v>42</v>
      </c>
      <c r="E26" s="1" t="s">
        <v>43</v>
      </c>
      <c r="F26" s="1" t="s">
        <v>44</v>
      </c>
      <c r="G26" s="1" t="s">
        <v>29</v>
      </c>
      <c r="H26" s="1" t="s">
        <v>65</v>
      </c>
      <c r="I26" s="1" t="s">
        <v>45</v>
      </c>
      <c r="J26" s="1" t="s">
        <v>54</v>
      </c>
      <c r="K26" s="1" t="s">
        <v>46</v>
      </c>
      <c r="L26" s="2">
        <v>46112</v>
      </c>
      <c r="M26" s="2">
        <v>46143</v>
      </c>
      <c r="N26">
        <v>1602716</v>
      </c>
      <c r="O26">
        <v>97101</v>
      </c>
      <c r="P26">
        <v>1505615</v>
      </c>
      <c r="Q26" s="1" t="s">
        <v>66</v>
      </c>
      <c r="R26" s="1" t="s">
        <v>35</v>
      </c>
      <c r="S26" s="1" t="s">
        <v>37</v>
      </c>
      <c r="T26" s="1" t="s">
        <v>36</v>
      </c>
      <c r="U26">
        <v>3</v>
      </c>
      <c r="V26" t="s">
        <v>38</v>
      </c>
      <c r="W26">
        <v>5</v>
      </c>
      <c r="X26" s="1" t="s">
        <v>86</v>
      </c>
    </row>
    <row r="27" spans="1:24" x14ac:dyDescent="0.55000000000000004">
      <c r="A27" s="1" t="s">
        <v>111</v>
      </c>
      <c r="B27" s="1" t="s">
        <v>83</v>
      </c>
      <c r="C27">
        <v>34</v>
      </c>
      <c r="D27" s="1" t="s">
        <v>42</v>
      </c>
      <c r="E27" s="1" t="s">
        <v>90</v>
      </c>
      <c r="F27" s="1" t="s">
        <v>44</v>
      </c>
      <c r="G27" s="1" t="s">
        <v>29</v>
      </c>
      <c r="H27" s="1" t="s">
        <v>77</v>
      </c>
      <c r="I27" s="1" t="s">
        <v>59</v>
      </c>
      <c r="J27" s="1" t="s">
        <v>54</v>
      </c>
      <c r="K27" s="1" t="s">
        <v>46</v>
      </c>
      <c r="L27" s="2">
        <v>45967</v>
      </c>
      <c r="M27" s="2">
        <v>45983</v>
      </c>
      <c r="N27">
        <v>1695609</v>
      </c>
      <c r="O27">
        <v>60712</v>
      </c>
      <c r="P27">
        <v>1634897</v>
      </c>
      <c r="Q27" s="1" t="s">
        <v>78</v>
      </c>
      <c r="R27" s="1" t="s">
        <v>79</v>
      </c>
      <c r="S27" s="1" t="s">
        <v>37</v>
      </c>
      <c r="T27" s="1" t="s">
        <v>36</v>
      </c>
      <c r="U27">
        <v>3.6</v>
      </c>
      <c r="V27" t="s">
        <v>56</v>
      </c>
      <c r="W27">
        <v>11</v>
      </c>
      <c r="X27" s="1" t="s">
        <v>60</v>
      </c>
    </row>
    <row r="28" spans="1:24" x14ac:dyDescent="0.55000000000000004">
      <c r="A28" s="1" t="s">
        <v>112</v>
      </c>
      <c r="B28" s="1" t="s">
        <v>62</v>
      </c>
      <c r="C28">
        <v>46</v>
      </c>
      <c r="D28" s="1" t="s">
        <v>26</v>
      </c>
      <c r="E28" s="1" t="s">
        <v>27</v>
      </c>
      <c r="F28" s="1" t="s">
        <v>28</v>
      </c>
      <c r="G28" s="1" t="s">
        <v>29</v>
      </c>
      <c r="H28" s="1" t="s">
        <v>65</v>
      </c>
      <c r="I28" s="1" t="s">
        <v>74</v>
      </c>
      <c r="J28" s="1" t="s">
        <v>54</v>
      </c>
      <c r="K28" s="1" t="s">
        <v>46</v>
      </c>
      <c r="L28" s="2">
        <v>45832</v>
      </c>
      <c r="M28" s="2">
        <v>45866</v>
      </c>
      <c r="N28">
        <v>1755679</v>
      </c>
      <c r="O28">
        <v>80855</v>
      </c>
      <c r="P28">
        <v>1674824</v>
      </c>
      <c r="Q28" s="1" t="s">
        <v>55</v>
      </c>
      <c r="R28" s="1" t="s">
        <v>79</v>
      </c>
      <c r="S28" s="1" t="s">
        <v>36</v>
      </c>
      <c r="T28" s="1" t="s">
        <v>37</v>
      </c>
      <c r="U28">
        <v>3.8</v>
      </c>
      <c r="V28" t="s">
        <v>38</v>
      </c>
      <c r="W28">
        <v>7</v>
      </c>
      <c r="X28" s="1" t="s">
        <v>39</v>
      </c>
    </row>
    <row r="29" spans="1:24" x14ac:dyDescent="0.55000000000000004">
      <c r="A29" s="1" t="s">
        <v>113</v>
      </c>
      <c r="B29" s="1" t="s">
        <v>41</v>
      </c>
      <c r="C29">
        <v>28</v>
      </c>
      <c r="D29" s="1" t="s">
        <v>26</v>
      </c>
      <c r="E29" s="1" t="s">
        <v>71</v>
      </c>
      <c r="F29" s="1" t="s">
        <v>72</v>
      </c>
      <c r="G29" s="1" t="s">
        <v>29</v>
      </c>
      <c r="H29" s="1" t="s">
        <v>30</v>
      </c>
      <c r="I29" s="1" t="s">
        <v>59</v>
      </c>
      <c r="J29" s="1" t="s">
        <v>32</v>
      </c>
      <c r="K29" s="1" t="s">
        <v>46</v>
      </c>
      <c r="L29" s="2">
        <v>45704</v>
      </c>
      <c r="M29" s="2">
        <v>45714</v>
      </c>
      <c r="N29">
        <v>1411976</v>
      </c>
      <c r="O29">
        <v>25316</v>
      </c>
      <c r="P29">
        <v>1386660</v>
      </c>
      <c r="Q29" s="1" t="s">
        <v>78</v>
      </c>
      <c r="R29" s="1" t="s">
        <v>67</v>
      </c>
      <c r="S29" s="1" t="s">
        <v>36</v>
      </c>
      <c r="T29" s="1" t="s">
        <v>37</v>
      </c>
      <c r="U29">
        <v>4.9000000000000004</v>
      </c>
      <c r="V29" t="s">
        <v>91</v>
      </c>
      <c r="W29">
        <v>2</v>
      </c>
      <c r="X29" s="1" t="s">
        <v>107</v>
      </c>
    </row>
    <row r="30" spans="1:24" x14ac:dyDescent="0.55000000000000004">
      <c r="A30" s="1" t="s">
        <v>114</v>
      </c>
      <c r="B30" s="1" t="s">
        <v>51</v>
      </c>
      <c r="C30">
        <v>46</v>
      </c>
      <c r="D30" s="1" t="s">
        <v>26</v>
      </c>
      <c r="E30" s="1" t="s">
        <v>43</v>
      </c>
      <c r="F30" s="1" t="s">
        <v>44</v>
      </c>
      <c r="G30" s="1" t="s">
        <v>29</v>
      </c>
      <c r="H30" s="1" t="s">
        <v>65</v>
      </c>
      <c r="I30" s="1" t="s">
        <v>59</v>
      </c>
      <c r="J30" s="1" t="s">
        <v>32</v>
      </c>
      <c r="K30" s="1" t="s">
        <v>46</v>
      </c>
      <c r="L30" s="2">
        <v>45702</v>
      </c>
      <c r="M30" s="2">
        <v>45719</v>
      </c>
      <c r="N30">
        <v>1783243</v>
      </c>
      <c r="O30">
        <v>55949</v>
      </c>
      <c r="P30">
        <v>1727294</v>
      </c>
      <c r="Q30" s="1" t="s">
        <v>66</v>
      </c>
      <c r="R30" s="1" t="s">
        <v>79</v>
      </c>
      <c r="S30" s="1" t="s">
        <v>36</v>
      </c>
      <c r="T30" s="1" t="s">
        <v>37</v>
      </c>
      <c r="U30">
        <v>4</v>
      </c>
      <c r="V30" t="s">
        <v>56</v>
      </c>
      <c r="W30">
        <v>3</v>
      </c>
      <c r="X30" s="1" t="s">
        <v>96</v>
      </c>
    </row>
    <row r="31" spans="1:24" x14ac:dyDescent="0.55000000000000004">
      <c r="A31" s="1" t="s">
        <v>115</v>
      </c>
      <c r="B31" s="1" t="s">
        <v>51</v>
      </c>
      <c r="C31">
        <v>52</v>
      </c>
      <c r="D31" s="1" t="s">
        <v>42</v>
      </c>
      <c r="E31" s="1" t="s">
        <v>52</v>
      </c>
      <c r="F31" s="1" t="s">
        <v>44</v>
      </c>
      <c r="G31" s="1" t="s">
        <v>29</v>
      </c>
      <c r="H31" s="1" t="s">
        <v>65</v>
      </c>
      <c r="I31" s="1" t="s">
        <v>31</v>
      </c>
      <c r="J31" s="1" t="s">
        <v>32</v>
      </c>
      <c r="K31" s="1" t="s">
        <v>46</v>
      </c>
      <c r="L31" s="2">
        <v>46159</v>
      </c>
      <c r="M31" s="2">
        <v>46192</v>
      </c>
      <c r="N31">
        <v>1661232</v>
      </c>
      <c r="O31">
        <v>98231</v>
      </c>
      <c r="P31">
        <v>1563001</v>
      </c>
      <c r="Q31" s="1" t="s">
        <v>47</v>
      </c>
      <c r="R31" s="1" t="s">
        <v>79</v>
      </c>
      <c r="S31" s="1" t="s">
        <v>37</v>
      </c>
      <c r="T31" s="1" t="s">
        <v>37</v>
      </c>
      <c r="U31">
        <v>4.9000000000000004</v>
      </c>
      <c r="V31" t="s">
        <v>38</v>
      </c>
      <c r="W31">
        <v>6</v>
      </c>
      <c r="X31" s="1" t="s">
        <v>68</v>
      </c>
    </row>
    <row r="32" spans="1:24" x14ac:dyDescent="0.55000000000000004">
      <c r="A32" s="1" t="s">
        <v>116</v>
      </c>
      <c r="B32" s="1" t="s">
        <v>93</v>
      </c>
      <c r="C32">
        <v>29</v>
      </c>
      <c r="D32" s="1" t="s">
        <v>26</v>
      </c>
      <c r="E32" s="1" t="s">
        <v>84</v>
      </c>
      <c r="F32" s="1" t="s">
        <v>85</v>
      </c>
      <c r="G32" s="1" t="s">
        <v>29</v>
      </c>
      <c r="H32" s="1" t="s">
        <v>30</v>
      </c>
      <c r="I32" s="1" t="s">
        <v>74</v>
      </c>
      <c r="J32" s="1" t="s">
        <v>32</v>
      </c>
      <c r="K32" s="1" t="s">
        <v>33</v>
      </c>
      <c r="L32" s="2">
        <v>45849</v>
      </c>
      <c r="M32" s="2">
        <v>45892</v>
      </c>
      <c r="N32">
        <v>1411679</v>
      </c>
      <c r="O32">
        <v>67531</v>
      </c>
      <c r="P32">
        <v>1344148</v>
      </c>
      <c r="Q32" s="1" t="s">
        <v>66</v>
      </c>
      <c r="R32" s="1" t="s">
        <v>48</v>
      </c>
      <c r="S32" s="1" t="s">
        <v>37</v>
      </c>
      <c r="T32" s="1" t="s">
        <v>37</v>
      </c>
      <c r="U32">
        <v>3.5</v>
      </c>
      <c r="V32" t="s">
        <v>38</v>
      </c>
      <c r="W32">
        <v>8</v>
      </c>
      <c r="X32" s="1" t="s">
        <v>57</v>
      </c>
    </row>
    <row r="33" spans="1:24" x14ac:dyDescent="0.55000000000000004">
      <c r="A33" s="1" t="s">
        <v>117</v>
      </c>
      <c r="B33" s="1" t="s">
        <v>25</v>
      </c>
      <c r="C33">
        <v>41</v>
      </c>
      <c r="D33" s="1" t="s">
        <v>26</v>
      </c>
      <c r="E33" s="1" t="s">
        <v>27</v>
      </c>
      <c r="F33" s="1" t="s">
        <v>28</v>
      </c>
      <c r="G33" s="1" t="s">
        <v>29</v>
      </c>
      <c r="H33" s="1" t="s">
        <v>30</v>
      </c>
      <c r="I33" s="1" t="s">
        <v>45</v>
      </c>
      <c r="J33" s="1" t="s">
        <v>54</v>
      </c>
      <c r="K33" s="1" t="s">
        <v>33</v>
      </c>
      <c r="L33" s="2">
        <v>46011</v>
      </c>
      <c r="M33" s="2">
        <v>46048</v>
      </c>
      <c r="N33">
        <v>1838705</v>
      </c>
      <c r="O33">
        <v>86368</v>
      </c>
      <c r="P33">
        <v>1752337</v>
      </c>
      <c r="Q33" s="1" t="s">
        <v>55</v>
      </c>
      <c r="R33" s="1" t="s">
        <v>48</v>
      </c>
      <c r="S33" s="1" t="s">
        <v>36</v>
      </c>
      <c r="T33" s="1" t="s">
        <v>36</v>
      </c>
      <c r="U33">
        <v>3.4</v>
      </c>
      <c r="V33" t="s">
        <v>38</v>
      </c>
      <c r="W33">
        <v>1</v>
      </c>
      <c r="X33" s="1" t="s">
        <v>88</v>
      </c>
    </row>
    <row r="34" spans="1:24" x14ac:dyDescent="0.55000000000000004">
      <c r="A34" s="1" t="s">
        <v>118</v>
      </c>
      <c r="B34" s="1" t="s">
        <v>93</v>
      </c>
      <c r="C34">
        <v>44</v>
      </c>
      <c r="D34" s="1" t="s">
        <v>42</v>
      </c>
      <c r="E34" s="1" t="s">
        <v>27</v>
      </c>
      <c r="F34" s="1" t="s">
        <v>28</v>
      </c>
      <c r="G34" s="1" t="s">
        <v>29</v>
      </c>
      <c r="H34" s="1" t="s">
        <v>30</v>
      </c>
      <c r="I34" s="1" t="s">
        <v>31</v>
      </c>
      <c r="J34" s="1" t="s">
        <v>54</v>
      </c>
      <c r="K34" s="1" t="s">
        <v>46</v>
      </c>
      <c r="L34" s="2">
        <v>45966</v>
      </c>
      <c r="M34" s="2">
        <v>45982</v>
      </c>
      <c r="N34">
        <v>1864265</v>
      </c>
      <c r="O34">
        <v>34488</v>
      </c>
      <c r="P34">
        <v>1829777</v>
      </c>
      <c r="Q34" s="1" t="s">
        <v>55</v>
      </c>
      <c r="R34" s="1" t="s">
        <v>48</v>
      </c>
      <c r="S34" s="1" t="s">
        <v>36</v>
      </c>
      <c r="T34" s="1" t="s">
        <v>37</v>
      </c>
      <c r="U34">
        <v>3.4</v>
      </c>
      <c r="V34" t="s">
        <v>56</v>
      </c>
      <c r="W34">
        <v>11</v>
      </c>
      <c r="X34" s="1" t="s">
        <v>60</v>
      </c>
    </row>
    <row r="35" spans="1:24" x14ac:dyDescent="0.55000000000000004">
      <c r="A35" s="1" t="s">
        <v>119</v>
      </c>
      <c r="B35" s="1" t="s">
        <v>83</v>
      </c>
      <c r="C35">
        <v>60</v>
      </c>
      <c r="D35" s="1" t="s">
        <v>42</v>
      </c>
      <c r="E35" s="1" t="s">
        <v>71</v>
      </c>
      <c r="F35" s="1" t="s">
        <v>72</v>
      </c>
      <c r="G35" s="1" t="s">
        <v>29</v>
      </c>
      <c r="H35" s="1" t="s">
        <v>65</v>
      </c>
      <c r="I35" s="1" t="s">
        <v>31</v>
      </c>
      <c r="J35" s="1" t="s">
        <v>54</v>
      </c>
      <c r="K35" s="1" t="s">
        <v>33</v>
      </c>
      <c r="L35" s="2">
        <v>46180</v>
      </c>
      <c r="M35" s="2">
        <v>46212</v>
      </c>
      <c r="N35">
        <v>1402322</v>
      </c>
      <c r="O35">
        <v>45430</v>
      </c>
      <c r="P35">
        <v>1356892</v>
      </c>
      <c r="Q35" s="1" t="s">
        <v>47</v>
      </c>
      <c r="R35" s="1" t="s">
        <v>79</v>
      </c>
      <c r="S35" s="1" t="s">
        <v>36</v>
      </c>
      <c r="T35" s="1" t="s">
        <v>36</v>
      </c>
      <c r="U35">
        <v>4.7</v>
      </c>
      <c r="V35" t="s">
        <v>38</v>
      </c>
      <c r="W35">
        <v>7</v>
      </c>
      <c r="X35" s="1" t="s">
        <v>39</v>
      </c>
    </row>
    <row r="36" spans="1:24" x14ac:dyDescent="0.55000000000000004">
      <c r="A36" s="1" t="s">
        <v>120</v>
      </c>
      <c r="B36" s="1" t="s">
        <v>81</v>
      </c>
      <c r="C36">
        <v>46</v>
      </c>
      <c r="D36" s="1" t="s">
        <v>26</v>
      </c>
      <c r="E36" s="1" t="s">
        <v>90</v>
      </c>
      <c r="F36" s="1" t="s">
        <v>44</v>
      </c>
      <c r="G36" s="1" t="s">
        <v>29</v>
      </c>
      <c r="H36" s="1" t="s">
        <v>65</v>
      </c>
      <c r="I36" s="1" t="s">
        <v>59</v>
      </c>
      <c r="J36" s="1" t="s">
        <v>54</v>
      </c>
      <c r="K36" s="1" t="s">
        <v>33</v>
      </c>
      <c r="L36" s="2">
        <v>46030</v>
      </c>
      <c r="M36" s="2">
        <v>46041</v>
      </c>
      <c r="N36">
        <v>1309934</v>
      </c>
      <c r="O36">
        <v>61599</v>
      </c>
      <c r="P36">
        <v>1248335</v>
      </c>
      <c r="Q36" s="1" t="s">
        <v>34</v>
      </c>
      <c r="R36" s="1" t="s">
        <v>48</v>
      </c>
      <c r="S36" s="1" t="s">
        <v>37</v>
      </c>
      <c r="T36" s="1" t="s">
        <v>37</v>
      </c>
      <c r="U36">
        <v>3.4</v>
      </c>
      <c r="V36" t="s">
        <v>56</v>
      </c>
      <c r="W36">
        <v>1</v>
      </c>
      <c r="X36" s="1" t="s">
        <v>88</v>
      </c>
    </row>
    <row r="37" spans="1:24" x14ac:dyDescent="0.55000000000000004">
      <c r="A37" s="1" t="s">
        <v>121</v>
      </c>
      <c r="B37" s="1" t="s">
        <v>81</v>
      </c>
      <c r="C37">
        <v>44</v>
      </c>
      <c r="D37" s="1" t="s">
        <v>42</v>
      </c>
      <c r="E37" s="1" t="s">
        <v>71</v>
      </c>
      <c r="F37" s="1" t="s">
        <v>72</v>
      </c>
      <c r="G37" s="1" t="s">
        <v>29</v>
      </c>
      <c r="H37" s="1" t="s">
        <v>65</v>
      </c>
      <c r="I37" s="1" t="s">
        <v>45</v>
      </c>
      <c r="J37" s="1" t="s">
        <v>32</v>
      </c>
      <c r="K37" s="1" t="s">
        <v>33</v>
      </c>
      <c r="L37" s="2">
        <v>46183</v>
      </c>
      <c r="M37" s="2">
        <v>46211</v>
      </c>
      <c r="N37">
        <v>1584125</v>
      </c>
      <c r="O37">
        <v>47402</v>
      </c>
      <c r="P37">
        <v>1536723</v>
      </c>
      <c r="Q37" s="1" t="s">
        <v>47</v>
      </c>
      <c r="R37" s="1" t="s">
        <v>79</v>
      </c>
      <c r="S37" s="1" t="s">
        <v>37</v>
      </c>
      <c r="T37" s="1" t="s">
        <v>36</v>
      </c>
      <c r="U37">
        <v>4.7</v>
      </c>
      <c r="V37" t="s">
        <v>38</v>
      </c>
      <c r="W37">
        <v>7</v>
      </c>
      <c r="X37" s="1" t="s">
        <v>39</v>
      </c>
    </row>
    <row r="38" spans="1:24" x14ac:dyDescent="0.55000000000000004">
      <c r="A38" s="1" t="s">
        <v>122</v>
      </c>
      <c r="B38" s="1" t="s">
        <v>81</v>
      </c>
      <c r="C38">
        <v>45</v>
      </c>
      <c r="D38" s="1" t="s">
        <v>26</v>
      </c>
      <c r="E38" s="1" t="s">
        <v>90</v>
      </c>
      <c r="F38" s="1" t="s">
        <v>44</v>
      </c>
      <c r="G38" s="1" t="s">
        <v>29</v>
      </c>
      <c r="H38" s="1" t="s">
        <v>65</v>
      </c>
      <c r="I38" s="1" t="s">
        <v>45</v>
      </c>
      <c r="J38" s="1" t="s">
        <v>54</v>
      </c>
      <c r="K38" s="1" t="s">
        <v>33</v>
      </c>
      <c r="L38" s="2">
        <v>45767</v>
      </c>
      <c r="M38" s="2">
        <v>45777</v>
      </c>
      <c r="N38">
        <v>1571221</v>
      </c>
      <c r="O38">
        <v>70725</v>
      </c>
      <c r="P38">
        <v>1500496</v>
      </c>
      <c r="Q38" s="1" t="s">
        <v>34</v>
      </c>
      <c r="R38" s="1" t="s">
        <v>67</v>
      </c>
      <c r="S38" s="1" t="s">
        <v>36</v>
      </c>
      <c r="T38" s="1" t="s">
        <v>36</v>
      </c>
      <c r="U38">
        <v>3.4</v>
      </c>
      <c r="V38" t="s">
        <v>91</v>
      </c>
      <c r="W38">
        <v>4</v>
      </c>
      <c r="X38" s="1" t="s">
        <v>63</v>
      </c>
    </row>
    <row r="39" spans="1:24" x14ac:dyDescent="0.55000000000000004">
      <c r="A39" s="1" t="s">
        <v>123</v>
      </c>
      <c r="B39" s="1" t="s">
        <v>51</v>
      </c>
      <c r="C39">
        <v>41</v>
      </c>
      <c r="D39" s="1" t="s">
        <v>42</v>
      </c>
      <c r="E39" s="1" t="s">
        <v>90</v>
      </c>
      <c r="F39" s="1" t="s">
        <v>44</v>
      </c>
      <c r="G39" s="1" t="s">
        <v>29</v>
      </c>
      <c r="H39" s="1" t="s">
        <v>65</v>
      </c>
      <c r="I39" s="1" t="s">
        <v>31</v>
      </c>
      <c r="J39" s="1" t="s">
        <v>32</v>
      </c>
      <c r="K39" s="1" t="s">
        <v>33</v>
      </c>
      <c r="L39" s="2">
        <v>46051</v>
      </c>
      <c r="M39" s="2">
        <v>46063</v>
      </c>
      <c r="N39">
        <v>1669972</v>
      </c>
      <c r="O39">
        <v>30214</v>
      </c>
      <c r="P39">
        <v>1639758</v>
      </c>
      <c r="Q39" s="1" t="s">
        <v>47</v>
      </c>
      <c r="R39" s="1" t="s">
        <v>79</v>
      </c>
      <c r="S39" s="1" t="s">
        <v>37</v>
      </c>
      <c r="T39" s="1" t="s">
        <v>36</v>
      </c>
      <c r="U39">
        <v>4.7</v>
      </c>
      <c r="V39" t="s">
        <v>56</v>
      </c>
      <c r="W39">
        <v>2</v>
      </c>
      <c r="X39" s="1" t="s">
        <v>107</v>
      </c>
    </row>
    <row r="40" spans="1:24" x14ac:dyDescent="0.55000000000000004">
      <c r="A40" s="1" t="s">
        <v>124</v>
      </c>
      <c r="B40" s="1" t="s">
        <v>62</v>
      </c>
      <c r="C40">
        <v>28</v>
      </c>
      <c r="D40" s="1" t="s">
        <v>26</v>
      </c>
      <c r="E40" s="1" t="s">
        <v>43</v>
      </c>
      <c r="F40" s="1" t="s">
        <v>44</v>
      </c>
      <c r="G40" s="1" t="s">
        <v>29</v>
      </c>
      <c r="H40" s="1" t="s">
        <v>30</v>
      </c>
      <c r="I40" s="1" t="s">
        <v>31</v>
      </c>
      <c r="J40" s="1" t="s">
        <v>32</v>
      </c>
      <c r="K40" s="1" t="s">
        <v>46</v>
      </c>
      <c r="L40" s="2">
        <v>46095</v>
      </c>
      <c r="M40" s="2">
        <v>46106</v>
      </c>
      <c r="N40">
        <v>1837556</v>
      </c>
      <c r="O40">
        <v>88095</v>
      </c>
      <c r="P40">
        <v>1749461</v>
      </c>
      <c r="Q40" s="1" t="s">
        <v>66</v>
      </c>
      <c r="R40" s="1" t="s">
        <v>35</v>
      </c>
      <c r="S40" s="1" t="s">
        <v>37</v>
      </c>
      <c r="T40" s="1" t="s">
        <v>37</v>
      </c>
      <c r="U40">
        <v>3.5</v>
      </c>
      <c r="V40" t="s">
        <v>56</v>
      </c>
      <c r="W40">
        <v>3</v>
      </c>
      <c r="X40" s="1" t="s">
        <v>96</v>
      </c>
    </row>
    <row r="41" spans="1:24" x14ac:dyDescent="0.55000000000000004">
      <c r="A41" s="1" t="s">
        <v>125</v>
      </c>
      <c r="B41" s="1" t="s">
        <v>81</v>
      </c>
      <c r="C41">
        <v>49</v>
      </c>
      <c r="D41" s="1" t="s">
        <v>26</v>
      </c>
      <c r="E41" s="1" t="s">
        <v>71</v>
      </c>
      <c r="F41" s="1" t="s">
        <v>72</v>
      </c>
      <c r="G41" s="1" t="s">
        <v>29</v>
      </c>
      <c r="H41" s="1" t="s">
        <v>30</v>
      </c>
      <c r="I41" s="1" t="s">
        <v>59</v>
      </c>
      <c r="J41" s="1" t="s">
        <v>32</v>
      </c>
      <c r="K41" s="1" t="s">
        <v>33</v>
      </c>
      <c r="L41" s="2">
        <v>45786</v>
      </c>
      <c r="M41" s="2">
        <v>45830</v>
      </c>
      <c r="N41">
        <v>1417029</v>
      </c>
      <c r="O41">
        <v>93693</v>
      </c>
      <c r="P41">
        <v>1323336</v>
      </c>
      <c r="Q41" s="1" t="s">
        <v>55</v>
      </c>
      <c r="R41" s="1" t="s">
        <v>109</v>
      </c>
      <c r="S41" s="1" t="s">
        <v>37</v>
      </c>
      <c r="T41" s="1" t="s">
        <v>37</v>
      </c>
      <c r="U41">
        <v>4.2</v>
      </c>
      <c r="V41" t="s">
        <v>38</v>
      </c>
      <c r="W41">
        <v>6</v>
      </c>
      <c r="X41" s="1" t="s">
        <v>68</v>
      </c>
    </row>
    <row r="42" spans="1:24" x14ac:dyDescent="0.55000000000000004">
      <c r="A42" s="1" t="s">
        <v>126</v>
      </c>
      <c r="B42" s="1" t="s">
        <v>98</v>
      </c>
      <c r="C42">
        <v>44</v>
      </c>
      <c r="D42" s="1" t="s">
        <v>42</v>
      </c>
      <c r="E42" s="1" t="s">
        <v>84</v>
      </c>
      <c r="F42" s="1" t="s">
        <v>85</v>
      </c>
      <c r="G42" s="1" t="s">
        <v>29</v>
      </c>
      <c r="H42" s="1" t="s">
        <v>30</v>
      </c>
      <c r="I42" s="1" t="s">
        <v>59</v>
      </c>
      <c r="J42" s="1" t="s">
        <v>54</v>
      </c>
      <c r="K42" s="1" t="s">
        <v>33</v>
      </c>
      <c r="L42" s="2">
        <v>45774</v>
      </c>
      <c r="M42" s="2">
        <v>45790</v>
      </c>
      <c r="N42">
        <v>1546742</v>
      </c>
      <c r="O42">
        <v>51783</v>
      </c>
      <c r="P42">
        <v>1494959</v>
      </c>
      <c r="Q42" s="1" t="s">
        <v>78</v>
      </c>
      <c r="R42" s="1" t="s">
        <v>67</v>
      </c>
      <c r="S42" s="1" t="s">
        <v>37</v>
      </c>
      <c r="T42" s="1" t="s">
        <v>37</v>
      </c>
      <c r="U42">
        <v>4.7</v>
      </c>
      <c r="V42" t="s">
        <v>56</v>
      </c>
      <c r="W42">
        <v>5</v>
      </c>
      <c r="X42" s="1" t="s">
        <v>86</v>
      </c>
    </row>
    <row r="43" spans="1:24" x14ac:dyDescent="0.55000000000000004">
      <c r="A43" s="1" t="s">
        <v>127</v>
      </c>
      <c r="B43" s="1" t="s">
        <v>25</v>
      </c>
      <c r="C43">
        <v>54</v>
      </c>
      <c r="D43" s="1" t="s">
        <v>26</v>
      </c>
      <c r="E43" s="1" t="s">
        <v>84</v>
      </c>
      <c r="F43" s="1" t="s">
        <v>85</v>
      </c>
      <c r="G43" s="1" t="s">
        <v>29</v>
      </c>
      <c r="H43" s="1" t="s">
        <v>30</v>
      </c>
      <c r="I43" s="1" t="s">
        <v>45</v>
      </c>
      <c r="J43" s="1" t="s">
        <v>54</v>
      </c>
      <c r="K43" s="1" t="s">
        <v>33</v>
      </c>
      <c r="L43" s="2">
        <v>45718</v>
      </c>
      <c r="M43" s="2">
        <v>45746</v>
      </c>
      <c r="N43">
        <v>1343401</v>
      </c>
      <c r="O43">
        <v>10386</v>
      </c>
      <c r="P43">
        <v>1333015</v>
      </c>
      <c r="Q43" s="1" t="s">
        <v>66</v>
      </c>
      <c r="R43" s="1" t="s">
        <v>35</v>
      </c>
      <c r="S43" s="1" t="s">
        <v>37</v>
      </c>
      <c r="T43" s="1" t="s">
        <v>37</v>
      </c>
      <c r="U43">
        <v>4.5999999999999996</v>
      </c>
      <c r="V43" t="s">
        <v>38</v>
      </c>
      <c r="W43">
        <v>3</v>
      </c>
      <c r="X43" s="1" t="s">
        <v>96</v>
      </c>
    </row>
    <row r="44" spans="1:24" x14ac:dyDescent="0.55000000000000004">
      <c r="A44" s="1" t="s">
        <v>128</v>
      </c>
      <c r="B44" s="1" t="s">
        <v>81</v>
      </c>
      <c r="C44">
        <v>43</v>
      </c>
      <c r="D44" s="1" t="s">
        <v>42</v>
      </c>
      <c r="E44" s="1" t="s">
        <v>71</v>
      </c>
      <c r="F44" s="1" t="s">
        <v>72</v>
      </c>
      <c r="G44" s="1" t="s">
        <v>29</v>
      </c>
      <c r="H44" s="1" t="s">
        <v>65</v>
      </c>
      <c r="I44" s="1" t="s">
        <v>53</v>
      </c>
      <c r="J44" s="1" t="s">
        <v>54</v>
      </c>
      <c r="K44" s="1" t="s">
        <v>46</v>
      </c>
      <c r="L44" s="2">
        <v>45704</v>
      </c>
      <c r="M44" s="2">
        <v>45713</v>
      </c>
      <c r="N44">
        <v>1540366</v>
      </c>
      <c r="O44">
        <v>39417</v>
      </c>
      <c r="P44">
        <v>1500949</v>
      </c>
      <c r="Q44" s="1" t="s">
        <v>34</v>
      </c>
      <c r="R44" s="1" t="s">
        <v>79</v>
      </c>
      <c r="S44" s="1" t="s">
        <v>37</v>
      </c>
      <c r="T44" s="1" t="s">
        <v>37</v>
      </c>
      <c r="U44">
        <v>4.7</v>
      </c>
      <c r="V44" t="s">
        <v>91</v>
      </c>
      <c r="W44">
        <v>2</v>
      </c>
      <c r="X44" s="1" t="s">
        <v>107</v>
      </c>
    </row>
    <row r="45" spans="1:24" x14ac:dyDescent="0.55000000000000004">
      <c r="A45" s="1" t="s">
        <v>129</v>
      </c>
      <c r="B45" s="1" t="s">
        <v>41</v>
      </c>
      <c r="C45">
        <v>46</v>
      </c>
      <c r="D45" s="1" t="s">
        <v>26</v>
      </c>
      <c r="E45" s="1" t="s">
        <v>27</v>
      </c>
      <c r="F45" s="1" t="s">
        <v>28</v>
      </c>
      <c r="G45" s="1" t="s">
        <v>29</v>
      </c>
      <c r="H45" s="1" t="s">
        <v>30</v>
      </c>
      <c r="I45" s="1" t="s">
        <v>74</v>
      </c>
      <c r="J45" s="1" t="s">
        <v>32</v>
      </c>
      <c r="K45" s="1" t="s">
        <v>33</v>
      </c>
      <c r="L45" s="2">
        <v>45659</v>
      </c>
      <c r="M45" s="2">
        <v>45683</v>
      </c>
      <c r="N45">
        <v>1571836</v>
      </c>
      <c r="O45">
        <v>55094</v>
      </c>
      <c r="P45">
        <v>1516742</v>
      </c>
      <c r="Q45" s="1" t="s">
        <v>55</v>
      </c>
      <c r="R45" s="1" t="s">
        <v>109</v>
      </c>
      <c r="S45" s="1" t="s">
        <v>37</v>
      </c>
      <c r="T45" s="1" t="s">
        <v>36</v>
      </c>
      <c r="U45">
        <v>4.5999999999999996</v>
      </c>
      <c r="V45" t="s">
        <v>38</v>
      </c>
      <c r="W45">
        <v>1</v>
      </c>
      <c r="X45" s="1" t="s">
        <v>88</v>
      </c>
    </row>
    <row r="46" spans="1:24" x14ac:dyDescent="0.55000000000000004">
      <c r="A46" s="1" t="s">
        <v>130</v>
      </c>
      <c r="B46" s="1" t="s">
        <v>25</v>
      </c>
      <c r="C46">
        <v>36</v>
      </c>
      <c r="D46" s="1" t="s">
        <v>42</v>
      </c>
      <c r="E46" s="1" t="s">
        <v>52</v>
      </c>
      <c r="F46" s="1" t="s">
        <v>44</v>
      </c>
      <c r="G46" s="1" t="s">
        <v>29</v>
      </c>
      <c r="H46" s="1" t="s">
        <v>30</v>
      </c>
      <c r="I46" s="1" t="s">
        <v>31</v>
      </c>
      <c r="J46" s="1" t="s">
        <v>54</v>
      </c>
      <c r="K46" s="1" t="s">
        <v>33</v>
      </c>
      <c r="L46" s="2">
        <v>45976</v>
      </c>
      <c r="M46" s="2">
        <v>45989</v>
      </c>
      <c r="N46">
        <v>1307901</v>
      </c>
      <c r="O46">
        <v>57470</v>
      </c>
      <c r="P46">
        <v>1250431</v>
      </c>
      <c r="Q46" s="1" t="s">
        <v>47</v>
      </c>
      <c r="R46" s="1" t="s">
        <v>48</v>
      </c>
      <c r="S46" s="1" t="s">
        <v>37</v>
      </c>
      <c r="T46" s="1" t="s">
        <v>36</v>
      </c>
      <c r="U46">
        <v>4.0999999999999996</v>
      </c>
      <c r="V46" t="s">
        <v>56</v>
      </c>
      <c r="W46">
        <v>11</v>
      </c>
      <c r="X46" s="1" t="s">
        <v>60</v>
      </c>
    </row>
    <row r="47" spans="1:24" x14ac:dyDescent="0.55000000000000004">
      <c r="A47" s="1" t="s">
        <v>131</v>
      </c>
      <c r="B47" s="1" t="s">
        <v>98</v>
      </c>
      <c r="C47">
        <v>35</v>
      </c>
      <c r="D47" s="1" t="s">
        <v>26</v>
      </c>
      <c r="E47" s="1" t="s">
        <v>90</v>
      </c>
      <c r="F47" s="1" t="s">
        <v>44</v>
      </c>
      <c r="G47" s="1" t="s">
        <v>29</v>
      </c>
      <c r="H47" s="1" t="s">
        <v>30</v>
      </c>
      <c r="I47" s="1" t="s">
        <v>45</v>
      </c>
      <c r="J47" s="1" t="s">
        <v>32</v>
      </c>
      <c r="K47" s="1" t="s">
        <v>33</v>
      </c>
      <c r="L47" s="2">
        <v>46031</v>
      </c>
      <c r="M47" s="2">
        <v>46048</v>
      </c>
      <c r="N47">
        <v>1414559</v>
      </c>
      <c r="O47">
        <v>64901</v>
      </c>
      <c r="P47">
        <v>1349658</v>
      </c>
      <c r="Q47" s="1" t="s">
        <v>78</v>
      </c>
      <c r="R47" s="1" t="s">
        <v>109</v>
      </c>
      <c r="S47" s="1" t="s">
        <v>37</v>
      </c>
      <c r="T47" s="1" t="s">
        <v>37</v>
      </c>
      <c r="U47">
        <v>3.5</v>
      </c>
      <c r="V47" t="s">
        <v>56</v>
      </c>
      <c r="W47">
        <v>1</v>
      </c>
      <c r="X47" s="1" t="s">
        <v>88</v>
      </c>
    </row>
    <row r="48" spans="1:24" x14ac:dyDescent="0.55000000000000004">
      <c r="A48" s="1" t="s">
        <v>132</v>
      </c>
      <c r="B48" s="1" t="s">
        <v>51</v>
      </c>
      <c r="C48">
        <v>26</v>
      </c>
      <c r="D48" s="1" t="s">
        <v>26</v>
      </c>
      <c r="E48" s="1" t="s">
        <v>90</v>
      </c>
      <c r="F48" s="1" t="s">
        <v>44</v>
      </c>
      <c r="G48" s="1" t="s">
        <v>29</v>
      </c>
      <c r="H48" s="1" t="s">
        <v>30</v>
      </c>
      <c r="I48" s="1" t="s">
        <v>59</v>
      </c>
      <c r="J48" s="1" t="s">
        <v>54</v>
      </c>
      <c r="K48" s="1" t="s">
        <v>46</v>
      </c>
      <c r="L48" s="2">
        <v>46131</v>
      </c>
      <c r="M48" s="2">
        <v>46153</v>
      </c>
      <c r="N48">
        <v>1825734</v>
      </c>
      <c r="O48">
        <v>14057</v>
      </c>
      <c r="P48">
        <v>1811677</v>
      </c>
      <c r="Q48" s="1" t="s">
        <v>55</v>
      </c>
      <c r="R48" s="1" t="s">
        <v>79</v>
      </c>
      <c r="S48" s="1" t="s">
        <v>37</v>
      </c>
      <c r="T48" s="1" t="s">
        <v>36</v>
      </c>
      <c r="U48">
        <v>3.9</v>
      </c>
      <c r="V48" t="s">
        <v>38</v>
      </c>
      <c r="W48">
        <v>5</v>
      </c>
      <c r="X48" s="1" t="s">
        <v>86</v>
      </c>
    </row>
    <row r="49" spans="1:24" x14ac:dyDescent="0.55000000000000004">
      <c r="A49" s="1" t="s">
        <v>133</v>
      </c>
      <c r="B49" s="1" t="s">
        <v>70</v>
      </c>
      <c r="C49">
        <v>37</v>
      </c>
      <c r="D49" s="1" t="s">
        <v>42</v>
      </c>
      <c r="E49" s="1" t="s">
        <v>90</v>
      </c>
      <c r="F49" s="1" t="s">
        <v>44</v>
      </c>
      <c r="G49" s="1" t="s">
        <v>29</v>
      </c>
      <c r="H49" s="1" t="s">
        <v>30</v>
      </c>
      <c r="I49" s="1" t="s">
        <v>59</v>
      </c>
      <c r="J49" s="1" t="s">
        <v>32</v>
      </c>
      <c r="K49" s="1" t="s">
        <v>46</v>
      </c>
      <c r="L49" s="2">
        <v>46039</v>
      </c>
      <c r="M49" s="2">
        <v>46074</v>
      </c>
      <c r="N49">
        <v>1405766</v>
      </c>
      <c r="O49">
        <v>64334</v>
      </c>
      <c r="P49">
        <v>1341432</v>
      </c>
      <c r="Q49" s="1" t="s">
        <v>78</v>
      </c>
      <c r="R49" s="1" t="s">
        <v>79</v>
      </c>
      <c r="S49" s="1" t="s">
        <v>37</v>
      </c>
      <c r="T49" s="1" t="s">
        <v>36</v>
      </c>
      <c r="U49">
        <v>3.1</v>
      </c>
      <c r="V49" t="s">
        <v>38</v>
      </c>
      <c r="W49">
        <v>2</v>
      </c>
      <c r="X49" s="1" t="s">
        <v>107</v>
      </c>
    </row>
    <row r="50" spans="1:24" x14ac:dyDescent="0.55000000000000004">
      <c r="A50" s="1" t="s">
        <v>134</v>
      </c>
      <c r="B50" s="1" t="s">
        <v>98</v>
      </c>
      <c r="C50">
        <v>24</v>
      </c>
      <c r="D50" s="1" t="s">
        <v>42</v>
      </c>
      <c r="E50" s="1" t="s">
        <v>27</v>
      </c>
      <c r="F50" s="1" t="s">
        <v>28</v>
      </c>
      <c r="G50" s="1" t="s">
        <v>29</v>
      </c>
      <c r="H50" s="1" t="s">
        <v>65</v>
      </c>
      <c r="I50" s="1" t="s">
        <v>45</v>
      </c>
      <c r="J50" s="1" t="s">
        <v>54</v>
      </c>
      <c r="K50" s="1" t="s">
        <v>46</v>
      </c>
      <c r="L50" s="2">
        <v>45786</v>
      </c>
      <c r="M50" s="2">
        <v>45801</v>
      </c>
      <c r="N50">
        <v>1575756</v>
      </c>
      <c r="O50">
        <v>14900</v>
      </c>
      <c r="P50">
        <v>1560856</v>
      </c>
      <c r="Q50" s="1" t="s">
        <v>34</v>
      </c>
      <c r="R50" s="1" t="s">
        <v>79</v>
      </c>
      <c r="S50" s="1" t="s">
        <v>37</v>
      </c>
      <c r="T50" s="1" t="s">
        <v>37</v>
      </c>
      <c r="U50">
        <v>4.9000000000000004</v>
      </c>
      <c r="V50" t="s">
        <v>56</v>
      </c>
      <c r="W50">
        <v>5</v>
      </c>
      <c r="X50" s="1" t="s">
        <v>86</v>
      </c>
    </row>
    <row r="51" spans="1:24" x14ac:dyDescent="0.55000000000000004">
      <c r="A51" s="1" t="s">
        <v>135</v>
      </c>
      <c r="B51" s="1" t="s">
        <v>105</v>
      </c>
      <c r="C51">
        <v>21</v>
      </c>
      <c r="D51" s="1" t="s">
        <v>42</v>
      </c>
      <c r="E51" s="1" t="s">
        <v>90</v>
      </c>
      <c r="F51" s="1" t="s">
        <v>44</v>
      </c>
      <c r="G51" s="1" t="s">
        <v>29</v>
      </c>
      <c r="H51" s="1" t="s">
        <v>65</v>
      </c>
      <c r="I51" s="1" t="s">
        <v>59</v>
      </c>
      <c r="J51" s="1" t="s">
        <v>32</v>
      </c>
      <c r="K51" s="1" t="s">
        <v>46</v>
      </c>
      <c r="L51" s="2">
        <v>46176</v>
      </c>
      <c r="M51" s="2">
        <v>46187</v>
      </c>
      <c r="N51">
        <v>1658526</v>
      </c>
      <c r="O51">
        <v>21509</v>
      </c>
      <c r="P51">
        <v>1637017</v>
      </c>
      <c r="Q51" s="1" t="s">
        <v>66</v>
      </c>
      <c r="R51" s="1" t="s">
        <v>48</v>
      </c>
      <c r="S51" s="1" t="s">
        <v>36</v>
      </c>
      <c r="T51" s="1" t="s">
        <v>36</v>
      </c>
      <c r="U51">
        <v>3.1</v>
      </c>
      <c r="V51" t="s">
        <v>56</v>
      </c>
      <c r="W51">
        <v>6</v>
      </c>
      <c r="X51" s="1" t="s">
        <v>68</v>
      </c>
    </row>
    <row r="52" spans="1:24" x14ac:dyDescent="0.55000000000000004">
      <c r="A52" s="1" t="s">
        <v>136</v>
      </c>
      <c r="B52" s="1" t="s">
        <v>98</v>
      </c>
      <c r="C52">
        <v>60</v>
      </c>
      <c r="D52" s="1" t="s">
        <v>26</v>
      </c>
      <c r="E52" s="1" t="s">
        <v>27</v>
      </c>
      <c r="F52" s="1" t="s">
        <v>28</v>
      </c>
      <c r="G52" s="1" t="s">
        <v>29</v>
      </c>
      <c r="H52" s="1" t="s">
        <v>65</v>
      </c>
      <c r="I52" s="1" t="s">
        <v>53</v>
      </c>
      <c r="J52" s="1" t="s">
        <v>32</v>
      </c>
      <c r="K52" s="1" t="s">
        <v>46</v>
      </c>
      <c r="L52" s="2">
        <v>45900</v>
      </c>
      <c r="M52" s="2">
        <v>45945</v>
      </c>
      <c r="N52">
        <v>1350981</v>
      </c>
      <c r="O52">
        <v>65937</v>
      </c>
      <c r="P52">
        <v>1285044</v>
      </c>
      <c r="Q52" s="1" t="s">
        <v>47</v>
      </c>
      <c r="R52" s="1" t="s">
        <v>79</v>
      </c>
      <c r="S52" s="1" t="s">
        <v>36</v>
      </c>
      <c r="T52" s="1" t="s">
        <v>36</v>
      </c>
      <c r="U52">
        <v>3.7</v>
      </c>
      <c r="V52" t="s">
        <v>38</v>
      </c>
      <c r="W52">
        <v>10</v>
      </c>
      <c r="X52" s="1" t="s">
        <v>75</v>
      </c>
    </row>
    <row r="53" spans="1:24" x14ac:dyDescent="0.55000000000000004">
      <c r="A53" s="1" t="s">
        <v>137</v>
      </c>
      <c r="B53" s="1" t="s">
        <v>81</v>
      </c>
      <c r="C53">
        <v>34</v>
      </c>
      <c r="D53" s="1" t="s">
        <v>26</v>
      </c>
      <c r="E53" s="1" t="s">
        <v>27</v>
      </c>
      <c r="F53" s="1" t="s">
        <v>28</v>
      </c>
      <c r="G53" s="1" t="s">
        <v>29</v>
      </c>
      <c r="H53" s="1" t="s">
        <v>30</v>
      </c>
      <c r="I53" s="1" t="s">
        <v>74</v>
      </c>
      <c r="J53" s="1" t="s">
        <v>54</v>
      </c>
      <c r="K53" s="1" t="s">
        <v>33</v>
      </c>
      <c r="L53" s="2">
        <v>45913</v>
      </c>
      <c r="M53" s="2">
        <v>45937</v>
      </c>
      <c r="N53">
        <v>1623825</v>
      </c>
      <c r="O53">
        <v>58663</v>
      </c>
      <c r="P53">
        <v>1565162</v>
      </c>
      <c r="Q53" s="1" t="s">
        <v>47</v>
      </c>
      <c r="R53" s="1" t="s">
        <v>35</v>
      </c>
      <c r="S53" s="1" t="s">
        <v>37</v>
      </c>
      <c r="T53" s="1" t="s">
        <v>36</v>
      </c>
      <c r="U53">
        <v>4.9000000000000004</v>
      </c>
      <c r="V53" t="s">
        <v>38</v>
      </c>
      <c r="W53">
        <v>10</v>
      </c>
      <c r="X53" s="1" t="s">
        <v>75</v>
      </c>
    </row>
    <row r="54" spans="1:24" x14ac:dyDescent="0.55000000000000004">
      <c r="A54" s="1" t="s">
        <v>138</v>
      </c>
      <c r="B54" s="1" t="s">
        <v>83</v>
      </c>
      <c r="C54">
        <v>37</v>
      </c>
      <c r="D54" s="1" t="s">
        <v>42</v>
      </c>
      <c r="E54" s="1" t="s">
        <v>52</v>
      </c>
      <c r="F54" s="1" t="s">
        <v>44</v>
      </c>
      <c r="G54" s="1" t="s">
        <v>29</v>
      </c>
      <c r="H54" s="1" t="s">
        <v>30</v>
      </c>
      <c r="I54" s="1" t="s">
        <v>53</v>
      </c>
      <c r="J54" s="1" t="s">
        <v>32</v>
      </c>
      <c r="K54" s="1" t="s">
        <v>46</v>
      </c>
      <c r="L54" s="2">
        <v>46005</v>
      </c>
      <c r="M54" s="2">
        <v>46039</v>
      </c>
      <c r="N54">
        <v>1771447</v>
      </c>
      <c r="O54">
        <v>99003</v>
      </c>
      <c r="P54">
        <v>1672444</v>
      </c>
      <c r="Q54" s="1" t="s">
        <v>66</v>
      </c>
      <c r="R54" s="1" t="s">
        <v>79</v>
      </c>
      <c r="S54" s="1" t="s">
        <v>36</v>
      </c>
      <c r="T54" s="1" t="s">
        <v>37</v>
      </c>
      <c r="U54">
        <v>4.8</v>
      </c>
      <c r="V54" t="s">
        <v>38</v>
      </c>
      <c r="W54">
        <v>1</v>
      </c>
      <c r="X54" s="1" t="s">
        <v>88</v>
      </c>
    </row>
    <row r="55" spans="1:24" x14ac:dyDescent="0.55000000000000004">
      <c r="A55" s="1" t="s">
        <v>139</v>
      </c>
      <c r="B55" s="1" t="s">
        <v>81</v>
      </c>
      <c r="C55">
        <v>37</v>
      </c>
      <c r="D55" s="1" t="s">
        <v>42</v>
      </c>
      <c r="E55" s="1" t="s">
        <v>52</v>
      </c>
      <c r="F55" s="1" t="s">
        <v>44</v>
      </c>
      <c r="G55" s="1" t="s">
        <v>29</v>
      </c>
      <c r="H55" s="1" t="s">
        <v>30</v>
      </c>
      <c r="I55" s="1" t="s">
        <v>53</v>
      </c>
      <c r="J55" s="1" t="s">
        <v>32</v>
      </c>
      <c r="K55" s="1" t="s">
        <v>33</v>
      </c>
      <c r="L55" s="2">
        <v>45813</v>
      </c>
      <c r="M55" s="2">
        <v>45849</v>
      </c>
      <c r="N55">
        <v>1415346</v>
      </c>
      <c r="O55">
        <v>74389</v>
      </c>
      <c r="P55">
        <v>1340957</v>
      </c>
      <c r="Q55" s="1" t="s">
        <v>78</v>
      </c>
      <c r="R55" s="1" t="s">
        <v>67</v>
      </c>
      <c r="S55" s="1" t="s">
        <v>37</v>
      </c>
      <c r="T55" s="1" t="s">
        <v>36</v>
      </c>
      <c r="U55">
        <v>3.1</v>
      </c>
      <c r="V55" t="s">
        <v>38</v>
      </c>
      <c r="W55">
        <v>7</v>
      </c>
      <c r="X55" s="1" t="s">
        <v>39</v>
      </c>
    </row>
    <row r="56" spans="1:24" x14ac:dyDescent="0.55000000000000004">
      <c r="A56" s="1" t="s">
        <v>140</v>
      </c>
      <c r="B56" s="1" t="s">
        <v>83</v>
      </c>
      <c r="C56">
        <v>28</v>
      </c>
      <c r="D56" s="1" t="s">
        <v>26</v>
      </c>
      <c r="E56" s="1" t="s">
        <v>84</v>
      </c>
      <c r="F56" s="1" t="s">
        <v>85</v>
      </c>
      <c r="G56" s="1" t="s">
        <v>29</v>
      </c>
      <c r="H56" s="1" t="s">
        <v>30</v>
      </c>
      <c r="I56" s="1" t="s">
        <v>31</v>
      </c>
      <c r="J56" s="1" t="s">
        <v>54</v>
      </c>
      <c r="K56" s="1" t="s">
        <v>46</v>
      </c>
      <c r="L56" s="2">
        <v>45715</v>
      </c>
      <c r="M56" s="2">
        <v>45725</v>
      </c>
      <c r="N56">
        <v>1709268</v>
      </c>
      <c r="O56">
        <v>35229</v>
      </c>
      <c r="P56">
        <v>1674039</v>
      </c>
      <c r="Q56" s="1" t="s">
        <v>55</v>
      </c>
      <c r="R56" s="1" t="s">
        <v>35</v>
      </c>
      <c r="S56" s="1" t="s">
        <v>36</v>
      </c>
      <c r="T56" s="1" t="s">
        <v>37</v>
      </c>
      <c r="U56">
        <v>3.6</v>
      </c>
      <c r="V56" t="s">
        <v>91</v>
      </c>
      <c r="W56">
        <v>3</v>
      </c>
      <c r="X56" s="1" t="s">
        <v>96</v>
      </c>
    </row>
    <row r="57" spans="1:24" x14ac:dyDescent="0.55000000000000004">
      <c r="A57" s="1" t="s">
        <v>141</v>
      </c>
      <c r="B57" s="1" t="s">
        <v>81</v>
      </c>
      <c r="C57">
        <v>44</v>
      </c>
      <c r="D57" s="1" t="s">
        <v>26</v>
      </c>
      <c r="E57" s="1" t="s">
        <v>43</v>
      </c>
      <c r="F57" s="1" t="s">
        <v>44</v>
      </c>
      <c r="G57" s="1" t="s">
        <v>29</v>
      </c>
      <c r="H57" s="1" t="s">
        <v>30</v>
      </c>
      <c r="I57" s="1" t="s">
        <v>53</v>
      </c>
      <c r="J57" s="1" t="s">
        <v>54</v>
      </c>
      <c r="K57" s="1" t="s">
        <v>33</v>
      </c>
      <c r="L57" s="2">
        <v>45749</v>
      </c>
      <c r="M57" s="2">
        <v>45783</v>
      </c>
      <c r="N57">
        <v>1336973</v>
      </c>
      <c r="O57">
        <v>12116</v>
      </c>
      <c r="P57">
        <v>1324857</v>
      </c>
      <c r="Q57" s="1" t="s">
        <v>66</v>
      </c>
      <c r="R57" s="1" t="s">
        <v>48</v>
      </c>
      <c r="S57" s="1" t="s">
        <v>37</v>
      </c>
      <c r="T57" s="1" t="s">
        <v>37</v>
      </c>
      <c r="U57">
        <v>4.5999999999999996</v>
      </c>
      <c r="V57" t="s">
        <v>38</v>
      </c>
      <c r="W57">
        <v>5</v>
      </c>
      <c r="X57" s="1" t="s">
        <v>86</v>
      </c>
    </row>
    <row r="58" spans="1:24" x14ac:dyDescent="0.55000000000000004">
      <c r="A58" s="1" t="s">
        <v>142</v>
      </c>
      <c r="B58" s="1" t="s">
        <v>25</v>
      </c>
      <c r="C58">
        <v>46</v>
      </c>
      <c r="D58" s="1" t="s">
        <v>26</v>
      </c>
      <c r="E58" s="1" t="s">
        <v>27</v>
      </c>
      <c r="F58" s="1" t="s">
        <v>28</v>
      </c>
      <c r="G58" s="1" t="s">
        <v>29</v>
      </c>
      <c r="H58" s="1" t="s">
        <v>30</v>
      </c>
      <c r="I58" s="1" t="s">
        <v>31</v>
      </c>
      <c r="J58" s="1" t="s">
        <v>32</v>
      </c>
      <c r="K58" s="1" t="s">
        <v>33</v>
      </c>
      <c r="L58" s="2">
        <v>46127</v>
      </c>
      <c r="M58" s="2">
        <v>46156</v>
      </c>
      <c r="N58">
        <v>1486087</v>
      </c>
      <c r="O58">
        <v>84960</v>
      </c>
      <c r="P58">
        <v>1401127</v>
      </c>
      <c r="Q58" s="1" t="s">
        <v>78</v>
      </c>
      <c r="R58" s="1" t="s">
        <v>48</v>
      </c>
      <c r="S58" s="1" t="s">
        <v>36</v>
      </c>
      <c r="T58" s="1" t="s">
        <v>36</v>
      </c>
      <c r="U58">
        <v>3.2</v>
      </c>
      <c r="V58" t="s">
        <v>38</v>
      </c>
      <c r="W58">
        <v>5</v>
      </c>
      <c r="X58" s="1" t="s">
        <v>86</v>
      </c>
    </row>
    <row r="59" spans="1:24" x14ac:dyDescent="0.55000000000000004">
      <c r="A59" s="1" t="s">
        <v>143</v>
      </c>
      <c r="B59" s="1" t="s">
        <v>83</v>
      </c>
      <c r="C59">
        <v>36</v>
      </c>
      <c r="D59" s="1" t="s">
        <v>26</v>
      </c>
      <c r="E59" s="1" t="s">
        <v>52</v>
      </c>
      <c r="F59" s="1" t="s">
        <v>44</v>
      </c>
      <c r="G59" s="1" t="s">
        <v>29</v>
      </c>
      <c r="H59" s="1" t="s">
        <v>65</v>
      </c>
      <c r="I59" s="1" t="s">
        <v>59</v>
      </c>
      <c r="J59" s="1" t="s">
        <v>32</v>
      </c>
      <c r="K59" s="1" t="s">
        <v>46</v>
      </c>
      <c r="L59" s="2">
        <v>45791</v>
      </c>
      <c r="M59" s="2">
        <v>45834</v>
      </c>
      <c r="N59">
        <v>1327986</v>
      </c>
      <c r="O59">
        <v>17213</v>
      </c>
      <c r="P59">
        <v>1310773</v>
      </c>
      <c r="Q59" s="1" t="s">
        <v>34</v>
      </c>
      <c r="R59" s="1" t="s">
        <v>48</v>
      </c>
      <c r="S59" s="1" t="s">
        <v>36</v>
      </c>
      <c r="T59" s="1" t="s">
        <v>37</v>
      </c>
      <c r="U59">
        <v>4.5999999999999996</v>
      </c>
      <c r="V59" t="s">
        <v>38</v>
      </c>
      <c r="W59">
        <v>6</v>
      </c>
      <c r="X59" s="1" t="s">
        <v>68</v>
      </c>
    </row>
    <row r="60" spans="1:24" x14ac:dyDescent="0.55000000000000004">
      <c r="A60" s="1" t="s">
        <v>144</v>
      </c>
      <c r="B60" s="1" t="s">
        <v>93</v>
      </c>
      <c r="C60">
        <v>39</v>
      </c>
      <c r="D60" s="1" t="s">
        <v>42</v>
      </c>
      <c r="E60" s="1" t="s">
        <v>71</v>
      </c>
      <c r="F60" s="1" t="s">
        <v>72</v>
      </c>
      <c r="G60" s="1" t="s">
        <v>29</v>
      </c>
      <c r="H60" s="1" t="s">
        <v>65</v>
      </c>
      <c r="I60" s="1" t="s">
        <v>45</v>
      </c>
      <c r="J60" s="1" t="s">
        <v>54</v>
      </c>
      <c r="K60" s="1" t="s">
        <v>33</v>
      </c>
      <c r="L60" s="2">
        <v>45741</v>
      </c>
      <c r="M60" s="2">
        <v>45765</v>
      </c>
      <c r="N60">
        <v>1751645</v>
      </c>
      <c r="O60">
        <v>51359</v>
      </c>
      <c r="P60">
        <v>1700286</v>
      </c>
      <c r="Q60" s="1" t="s">
        <v>34</v>
      </c>
      <c r="R60" s="1" t="s">
        <v>109</v>
      </c>
      <c r="S60" s="1" t="s">
        <v>37</v>
      </c>
      <c r="T60" s="1" t="s">
        <v>37</v>
      </c>
      <c r="U60">
        <v>4.5999999999999996</v>
      </c>
      <c r="V60" t="s">
        <v>38</v>
      </c>
      <c r="W60">
        <v>4</v>
      </c>
      <c r="X60" s="1" t="s">
        <v>63</v>
      </c>
    </row>
    <row r="61" spans="1:24" x14ac:dyDescent="0.55000000000000004">
      <c r="A61" s="1" t="s">
        <v>145</v>
      </c>
      <c r="B61" s="1" t="s">
        <v>41</v>
      </c>
      <c r="C61">
        <v>38</v>
      </c>
      <c r="D61" s="1" t="s">
        <v>26</v>
      </c>
      <c r="E61" s="1" t="s">
        <v>43</v>
      </c>
      <c r="F61" s="1" t="s">
        <v>44</v>
      </c>
      <c r="G61" s="1" t="s">
        <v>29</v>
      </c>
      <c r="H61" s="1" t="s">
        <v>30</v>
      </c>
      <c r="I61" s="1" t="s">
        <v>59</v>
      </c>
      <c r="J61" s="1" t="s">
        <v>32</v>
      </c>
      <c r="K61" s="1" t="s">
        <v>46</v>
      </c>
      <c r="L61" s="2">
        <v>46045</v>
      </c>
      <c r="M61" s="2">
        <v>46076</v>
      </c>
      <c r="N61">
        <v>1790110</v>
      </c>
      <c r="O61">
        <v>28653</v>
      </c>
      <c r="P61">
        <v>1761457</v>
      </c>
      <c r="Q61" s="1" t="s">
        <v>47</v>
      </c>
      <c r="R61" s="1" t="s">
        <v>109</v>
      </c>
      <c r="S61" s="1" t="s">
        <v>36</v>
      </c>
      <c r="T61" s="1" t="s">
        <v>37</v>
      </c>
      <c r="U61">
        <v>4.9000000000000004</v>
      </c>
      <c r="V61" t="s">
        <v>38</v>
      </c>
      <c r="W61">
        <v>2</v>
      </c>
      <c r="X61" s="1" t="s">
        <v>107</v>
      </c>
    </row>
    <row r="62" spans="1:24" x14ac:dyDescent="0.55000000000000004">
      <c r="A62" s="1" t="s">
        <v>146</v>
      </c>
      <c r="B62" s="1" t="s">
        <v>105</v>
      </c>
      <c r="C62">
        <v>48</v>
      </c>
      <c r="D62" s="1" t="s">
        <v>42</v>
      </c>
      <c r="E62" s="1" t="s">
        <v>27</v>
      </c>
      <c r="F62" s="1" t="s">
        <v>28</v>
      </c>
      <c r="G62" s="1" t="s">
        <v>29</v>
      </c>
      <c r="H62" s="1" t="s">
        <v>77</v>
      </c>
      <c r="I62" s="1" t="s">
        <v>59</v>
      </c>
      <c r="J62" s="1" t="s">
        <v>54</v>
      </c>
      <c r="K62" s="1" t="s">
        <v>33</v>
      </c>
      <c r="L62" s="2">
        <v>46111</v>
      </c>
      <c r="M62" s="2">
        <v>46141</v>
      </c>
      <c r="N62">
        <v>1648233</v>
      </c>
      <c r="O62">
        <v>58256</v>
      </c>
      <c r="P62">
        <v>1589977</v>
      </c>
      <c r="Q62" s="1" t="s">
        <v>66</v>
      </c>
      <c r="R62" s="1" t="s">
        <v>109</v>
      </c>
      <c r="S62" s="1" t="s">
        <v>36</v>
      </c>
      <c r="T62" s="1" t="s">
        <v>37</v>
      </c>
      <c r="U62">
        <v>4.9000000000000004</v>
      </c>
      <c r="V62" t="s">
        <v>38</v>
      </c>
      <c r="W62">
        <v>4</v>
      </c>
      <c r="X62" s="1" t="s">
        <v>63</v>
      </c>
    </row>
    <row r="63" spans="1:24" x14ac:dyDescent="0.55000000000000004">
      <c r="A63" s="1" t="s">
        <v>147</v>
      </c>
      <c r="B63" s="1" t="s">
        <v>93</v>
      </c>
      <c r="C63">
        <v>53</v>
      </c>
      <c r="D63" s="1" t="s">
        <v>42</v>
      </c>
      <c r="E63" s="1" t="s">
        <v>84</v>
      </c>
      <c r="F63" s="1" t="s">
        <v>85</v>
      </c>
      <c r="G63" s="1" t="s">
        <v>29</v>
      </c>
      <c r="H63" s="1" t="s">
        <v>30</v>
      </c>
      <c r="I63" s="1" t="s">
        <v>31</v>
      </c>
      <c r="J63" s="1" t="s">
        <v>54</v>
      </c>
      <c r="K63" s="1" t="s">
        <v>46</v>
      </c>
      <c r="L63" s="2">
        <v>46002</v>
      </c>
      <c r="M63" s="2">
        <v>46036</v>
      </c>
      <c r="N63">
        <v>1769955</v>
      </c>
      <c r="O63">
        <v>45695</v>
      </c>
      <c r="P63">
        <v>1724260</v>
      </c>
      <c r="Q63" s="1" t="s">
        <v>55</v>
      </c>
      <c r="R63" s="1" t="s">
        <v>35</v>
      </c>
      <c r="S63" s="1" t="s">
        <v>37</v>
      </c>
      <c r="T63" s="1" t="s">
        <v>37</v>
      </c>
      <c r="U63">
        <v>4</v>
      </c>
      <c r="V63" t="s">
        <v>38</v>
      </c>
      <c r="W63">
        <v>1</v>
      </c>
      <c r="X63" s="1" t="s">
        <v>88</v>
      </c>
    </row>
    <row r="64" spans="1:24" x14ac:dyDescent="0.55000000000000004">
      <c r="A64" s="1" t="s">
        <v>148</v>
      </c>
      <c r="B64" s="1" t="s">
        <v>83</v>
      </c>
      <c r="C64">
        <v>50</v>
      </c>
      <c r="D64" s="1" t="s">
        <v>26</v>
      </c>
      <c r="E64" s="1" t="s">
        <v>84</v>
      </c>
      <c r="F64" s="1" t="s">
        <v>85</v>
      </c>
      <c r="G64" s="1" t="s">
        <v>29</v>
      </c>
      <c r="H64" s="1" t="s">
        <v>77</v>
      </c>
      <c r="I64" s="1" t="s">
        <v>45</v>
      </c>
      <c r="J64" s="1" t="s">
        <v>54</v>
      </c>
      <c r="K64" s="1" t="s">
        <v>46</v>
      </c>
      <c r="L64" s="2">
        <v>46087</v>
      </c>
      <c r="M64" s="2">
        <v>46127</v>
      </c>
      <c r="N64">
        <v>1703444</v>
      </c>
      <c r="O64">
        <v>86793</v>
      </c>
      <c r="P64">
        <v>1616651</v>
      </c>
      <c r="Q64" s="1" t="s">
        <v>66</v>
      </c>
      <c r="R64" s="1" t="s">
        <v>67</v>
      </c>
      <c r="S64" s="1" t="s">
        <v>36</v>
      </c>
      <c r="T64" s="1" t="s">
        <v>37</v>
      </c>
      <c r="U64">
        <v>3.6</v>
      </c>
      <c r="V64" t="s">
        <v>38</v>
      </c>
      <c r="W64">
        <v>4</v>
      </c>
      <c r="X64" s="1" t="s">
        <v>63</v>
      </c>
    </row>
    <row r="65" spans="1:24" x14ac:dyDescent="0.55000000000000004">
      <c r="A65" s="1" t="s">
        <v>149</v>
      </c>
      <c r="B65" s="1" t="s">
        <v>41</v>
      </c>
      <c r="C65">
        <v>26</v>
      </c>
      <c r="D65" s="1" t="s">
        <v>42</v>
      </c>
      <c r="E65" s="1" t="s">
        <v>84</v>
      </c>
      <c r="F65" s="1" t="s">
        <v>85</v>
      </c>
      <c r="G65" s="1" t="s">
        <v>29</v>
      </c>
      <c r="H65" s="1" t="s">
        <v>77</v>
      </c>
      <c r="I65" s="1" t="s">
        <v>74</v>
      </c>
      <c r="J65" s="1" t="s">
        <v>32</v>
      </c>
      <c r="K65" s="1" t="s">
        <v>33</v>
      </c>
      <c r="L65" s="2">
        <v>46095</v>
      </c>
      <c r="M65" s="2">
        <v>46115</v>
      </c>
      <c r="N65">
        <v>1319038</v>
      </c>
      <c r="O65">
        <v>44729</v>
      </c>
      <c r="P65">
        <v>1274309</v>
      </c>
      <c r="Q65" s="1" t="s">
        <v>34</v>
      </c>
      <c r="R65" s="1" t="s">
        <v>48</v>
      </c>
      <c r="S65" s="1" t="s">
        <v>36</v>
      </c>
      <c r="T65" s="1" t="s">
        <v>36</v>
      </c>
      <c r="U65">
        <v>3.9</v>
      </c>
      <c r="V65" t="s">
        <v>56</v>
      </c>
      <c r="W65">
        <v>4</v>
      </c>
      <c r="X65" s="1" t="s">
        <v>63</v>
      </c>
    </row>
    <row r="66" spans="1:24" x14ac:dyDescent="0.55000000000000004">
      <c r="A66" s="1" t="s">
        <v>150</v>
      </c>
      <c r="B66" s="1" t="s">
        <v>62</v>
      </c>
      <c r="C66">
        <v>22</v>
      </c>
      <c r="D66" s="1" t="s">
        <v>26</v>
      </c>
      <c r="E66" s="1" t="s">
        <v>84</v>
      </c>
      <c r="F66" s="1" t="s">
        <v>85</v>
      </c>
      <c r="G66" s="1" t="s">
        <v>29</v>
      </c>
      <c r="H66" s="1" t="s">
        <v>65</v>
      </c>
      <c r="I66" s="1" t="s">
        <v>59</v>
      </c>
      <c r="J66" s="1" t="s">
        <v>54</v>
      </c>
      <c r="K66" s="1" t="s">
        <v>46</v>
      </c>
      <c r="L66" s="2">
        <v>45967</v>
      </c>
      <c r="M66" s="2">
        <v>45985</v>
      </c>
      <c r="N66">
        <v>1407782</v>
      </c>
      <c r="O66">
        <v>16872</v>
      </c>
      <c r="P66">
        <v>1390910</v>
      </c>
      <c r="Q66" s="1" t="s">
        <v>55</v>
      </c>
      <c r="R66" s="1" t="s">
        <v>48</v>
      </c>
      <c r="S66" s="1" t="s">
        <v>37</v>
      </c>
      <c r="T66" s="1" t="s">
        <v>37</v>
      </c>
      <c r="U66">
        <v>3.8</v>
      </c>
      <c r="V66" t="s">
        <v>56</v>
      </c>
      <c r="W66">
        <v>11</v>
      </c>
      <c r="X66" s="1" t="s">
        <v>60</v>
      </c>
    </row>
    <row r="67" spans="1:24" x14ac:dyDescent="0.55000000000000004">
      <c r="A67" s="1" t="s">
        <v>151</v>
      </c>
      <c r="B67" s="1" t="s">
        <v>25</v>
      </c>
      <c r="C67">
        <v>23</v>
      </c>
      <c r="D67" s="1" t="s">
        <v>26</v>
      </c>
      <c r="E67" s="1" t="s">
        <v>84</v>
      </c>
      <c r="F67" s="1" t="s">
        <v>85</v>
      </c>
      <c r="G67" s="1" t="s">
        <v>29</v>
      </c>
      <c r="H67" s="1" t="s">
        <v>77</v>
      </c>
      <c r="I67" s="1" t="s">
        <v>74</v>
      </c>
      <c r="J67" s="1" t="s">
        <v>54</v>
      </c>
      <c r="K67" s="1" t="s">
        <v>33</v>
      </c>
      <c r="L67" s="2">
        <v>45869</v>
      </c>
      <c r="M67" s="2">
        <v>45885</v>
      </c>
      <c r="N67">
        <v>1463466</v>
      </c>
      <c r="O67">
        <v>43190</v>
      </c>
      <c r="P67">
        <v>1420276</v>
      </c>
      <c r="Q67" s="1" t="s">
        <v>55</v>
      </c>
      <c r="R67" s="1" t="s">
        <v>35</v>
      </c>
      <c r="S67" s="1" t="s">
        <v>37</v>
      </c>
      <c r="T67" s="1" t="s">
        <v>36</v>
      </c>
      <c r="U67">
        <v>4.5999999999999996</v>
      </c>
      <c r="V67" t="s">
        <v>56</v>
      </c>
      <c r="W67">
        <v>8</v>
      </c>
      <c r="X67" s="1" t="s">
        <v>57</v>
      </c>
    </row>
    <row r="68" spans="1:24" x14ac:dyDescent="0.55000000000000004">
      <c r="A68" s="1" t="s">
        <v>152</v>
      </c>
      <c r="B68" s="1" t="s">
        <v>41</v>
      </c>
      <c r="C68">
        <v>50</v>
      </c>
      <c r="D68" s="1" t="s">
        <v>42</v>
      </c>
      <c r="E68" s="1" t="s">
        <v>52</v>
      </c>
      <c r="F68" s="1" t="s">
        <v>44</v>
      </c>
      <c r="G68" s="1" t="s">
        <v>29</v>
      </c>
      <c r="H68" s="1" t="s">
        <v>77</v>
      </c>
      <c r="I68" s="1" t="s">
        <v>31</v>
      </c>
      <c r="J68" s="1" t="s">
        <v>54</v>
      </c>
      <c r="K68" s="1" t="s">
        <v>46</v>
      </c>
      <c r="L68" s="2">
        <v>46031</v>
      </c>
      <c r="M68" s="2">
        <v>46052</v>
      </c>
      <c r="N68">
        <v>1782712</v>
      </c>
      <c r="O68">
        <v>45667</v>
      </c>
      <c r="P68">
        <v>1737045</v>
      </c>
      <c r="Q68" s="1" t="s">
        <v>66</v>
      </c>
      <c r="R68" s="1" t="s">
        <v>79</v>
      </c>
      <c r="S68" s="1" t="s">
        <v>37</v>
      </c>
      <c r="T68" s="1" t="s">
        <v>36</v>
      </c>
      <c r="U68">
        <v>3.1</v>
      </c>
      <c r="V68" t="s">
        <v>38</v>
      </c>
      <c r="W68">
        <v>1</v>
      </c>
      <c r="X68" s="1" t="s">
        <v>88</v>
      </c>
    </row>
    <row r="69" spans="1:24" x14ac:dyDescent="0.55000000000000004">
      <c r="A69" s="1" t="s">
        <v>153</v>
      </c>
      <c r="B69" s="1" t="s">
        <v>70</v>
      </c>
      <c r="C69">
        <v>25</v>
      </c>
      <c r="D69" s="1" t="s">
        <v>42</v>
      </c>
      <c r="E69" s="1" t="s">
        <v>27</v>
      </c>
      <c r="F69" s="1" t="s">
        <v>28</v>
      </c>
      <c r="G69" s="1" t="s">
        <v>29</v>
      </c>
      <c r="H69" s="1" t="s">
        <v>30</v>
      </c>
      <c r="I69" s="1" t="s">
        <v>53</v>
      </c>
      <c r="J69" s="1" t="s">
        <v>32</v>
      </c>
      <c r="K69" s="1" t="s">
        <v>46</v>
      </c>
      <c r="L69" s="2">
        <v>46142</v>
      </c>
      <c r="M69" s="2">
        <v>46175</v>
      </c>
      <c r="N69">
        <v>1341123</v>
      </c>
      <c r="O69">
        <v>14182</v>
      </c>
      <c r="P69">
        <v>1326941</v>
      </c>
      <c r="Q69" s="1" t="s">
        <v>47</v>
      </c>
      <c r="R69" s="1" t="s">
        <v>48</v>
      </c>
      <c r="S69" s="1" t="s">
        <v>36</v>
      </c>
      <c r="T69" s="1" t="s">
        <v>37</v>
      </c>
      <c r="U69">
        <v>4.8</v>
      </c>
      <c r="V69" t="s">
        <v>38</v>
      </c>
      <c r="W69">
        <v>6</v>
      </c>
      <c r="X69" s="1" t="s">
        <v>68</v>
      </c>
    </row>
    <row r="70" spans="1:24" x14ac:dyDescent="0.55000000000000004">
      <c r="A70" s="1" t="s">
        <v>154</v>
      </c>
      <c r="B70" s="1" t="s">
        <v>70</v>
      </c>
      <c r="C70">
        <v>35</v>
      </c>
      <c r="D70" s="1" t="s">
        <v>42</v>
      </c>
      <c r="E70" s="1" t="s">
        <v>90</v>
      </c>
      <c r="F70" s="1" t="s">
        <v>44</v>
      </c>
      <c r="G70" s="1" t="s">
        <v>29</v>
      </c>
      <c r="H70" s="1" t="s">
        <v>30</v>
      </c>
      <c r="I70" s="1" t="s">
        <v>31</v>
      </c>
      <c r="J70" s="1" t="s">
        <v>54</v>
      </c>
      <c r="K70" s="1" t="s">
        <v>46</v>
      </c>
      <c r="L70" s="2">
        <v>45927</v>
      </c>
      <c r="M70" s="2">
        <v>45965</v>
      </c>
      <c r="N70">
        <v>1434202</v>
      </c>
      <c r="O70">
        <v>42161</v>
      </c>
      <c r="P70">
        <v>1392041</v>
      </c>
      <c r="Q70" s="1" t="s">
        <v>55</v>
      </c>
      <c r="R70" s="1" t="s">
        <v>35</v>
      </c>
      <c r="S70" s="1" t="s">
        <v>37</v>
      </c>
      <c r="T70" s="1" t="s">
        <v>36</v>
      </c>
      <c r="U70">
        <v>4.3</v>
      </c>
      <c r="V70" t="s">
        <v>38</v>
      </c>
      <c r="W70">
        <v>11</v>
      </c>
      <c r="X70" s="1" t="s">
        <v>60</v>
      </c>
    </row>
    <row r="71" spans="1:24" x14ac:dyDescent="0.55000000000000004">
      <c r="A71" s="1" t="s">
        <v>155</v>
      </c>
      <c r="B71" s="1" t="s">
        <v>81</v>
      </c>
      <c r="C71">
        <v>51</v>
      </c>
      <c r="D71" s="1" t="s">
        <v>26</v>
      </c>
      <c r="E71" s="1" t="s">
        <v>43</v>
      </c>
      <c r="F71" s="1" t="s">
        <v>44</v>
      </c>
      <c r="G71" s="1" t="s">
        <v>29</v>
      </c>
      <c r="H71" s="1" t="s">
        <v>77</v>
      </c>
      <c r="I71" s="1" t="s">
        <v>31</v>
      </c>
      <c r="J71" s="1" t="s">
        <v>32</v>
      </c>
      <c r="K71" s="1" t="s">
        <v>33</v>
      </c>
      <c r="L71" s="2">
        <v>46156</v>
      </c>
      <c r="M71" s="2">
        <v>46168</v>
      </c>
      <c r="N71">
        <v>1636554</v>
      </c>
      <c r="O71">
        <v>84257</v>
      </c>
      <c r="P71">
        <v>1552297</v>
      </c>
      <c r="Q71" s="1" t="s">
        <v>55</v>
      </c>
      <c r="R71" s="1" t="s">
        <v>79</v>
      </c>
      <c r="S71" s="1" t="s">
        <v>36</v>
      </c>
      <c r="T71" s="1" t="s">
        <v>37</v>
      </c>
      <c r="U71">
        <v>4.2</v>
      </c>
      <c r="V71" t="s">
        <v>56</v>
      </c>
      <c r="W71">
        <v>5</v>
      </c>
      <c r="X71" s="1" t="s">
        <v>86</v>
      </c>
    </row>
    <row r="72" spans="1:24" x14ac:dyDescent="0.55000000000000004">
      <c r="A72" s="1" t="s">
        <v>156</v>
      </c>
      <c r="B72" s="1" t="s">
        <v>25</v>
      </c>
      <c r="C72">
        <v>30</v>
      </c>
      <c r="D72" s="1" t="s">
        <v>42</v>
      </c>
      <c r="E72" s="1" t="s">
        <v>84</v>
      </c>
      <c r="F72" s="1" t="s">
        <v>85</v>
      </c>
      <c r="G72" s="1" t="s">
        <v>29</v>
      </c>
      <c r="H72" s="1" t="s">
        <v>65</v>
      </c>
      <c r="I72" s="1" t="s">
        <v>74</v>
      </c>
      <c r="J72" s="1" t="s">
        <v>54</v>
      </c>
      <c r="K72" s="1" t="s">
        <v>46</v>
      </c>
      <c r="L72" s="2">
        <v>46037</v>
      </c>
      <c r="M72" s="2">
        <v>46069</v>
      </c>
      <c r="N72">
        <v>1713494</v>
      </c>
      <c r="O72">
        <v>24362</v>
      </c>
      <c r="P72">
        <v>1689132</v>
      </c>
      <c r="Q72" s="1" t="s">
        <v>78</v>
      </c>
      <c r="R72" s="1" t="s">
        <v>79</v>
      </c>
      <c r="S72" s="1" t="s">
        <v>37</v>
      </c>
      <c r="T72" s="1" t="s">
        <v>36</v>
      </c>
      <c r="U72">
        <v>4.5</v>
      </c>
      <c r="V72" t="s">
        <v>38</v>
      </c>
      <c r="W72">
        <v>2</v>
      </c>
      <c r="X72" s="1" t="s">
        <v>107</v>
      </c>
    </row>
    <row r="73" spans="1:24" x14ac:dyDescent="0.55000000000000004">
      <c r="A73" s="1" t="s">
        <v>157</v>
      </c>
      <c r="B73" s="1" t="s">
        <v>25</v>
      </c>
      <c r="C73">
        <v>55</v>
      </c>
      <c r="D73" s="1" t="s">
        <v>26</v>
      </c>
      <c r="E73" s="1" t="s">
        <v>84</v>
      </c>
      <c r="F73" s="1" t="s">
        <v>85</v>
      </c>
      <c r="G73" s="1" t="s">
        <v>29</v>
      </c>
      <c r="H73" s="1" t="s">
        <v>77</v>
      </c>
      <c r="I73" s="1" t="s">
        <v>74</v>
      </c>
      <c r="J73" s="1" t="s">
        <v>54</v>
      </c>
      <c r="K73" s="1" t="s">
        <v>46</v>
      </c>
      <c r="L73" s="2">
        <v>45940</v>
      </c>
      <c r="M73" s="2">
        <v>45977</v>
      </c>
      <c r="N73">
        <v>1321144</v>
      </c>
      <c r="O73">
        <v>52056</v>
      </c>
      <c r="P73">
        <v>1269088</v>
      </c>
      <c r="Q73" s="1" t="s">
        <v>78</v>
      </c>
      <c r="R73" s="1" t="s">
        <v>79</v>
      </c>
      <c r="S73" s="1" t="s">
        <v>37</v>
      </c>
      <c r="T73" s="1" t="s">
        <v>36</v>
      </c>
      <c r="U73">
        <v>3.1</v>
      </c>
      <c r="V73" t="s">
        <v>38</v>
      </c>
      <c r="W73">
        <v>11</v>
      </c>
      <c r="X73" s="1" t="s">
        <v>60</v>
      </c>
    </row>
    <row r="74" spans="1:24" x14ac:dyDescent="0.55000000000000004">
      <c r="A74" s="1" t="s">
        <v>158</v>
      </c>
      <c r="B74" s="1" t="s">
        <v>93</v>
      </c>
      <c r="C74">
        <v>34</v>
      </c>
      <c r="D74" s="1" t="s">
        <v>42</v>
      </c>
      <c r="E74" s="1" t="s">
        <v>43</v>
      </c>
      <c r="F74" s="1" t="s">
        <v>44</v>
      </c>
      <c r="G74" s="1" t="s">
        <v>29</v>
      </c>
      <c r="H74" s="1" t="s">
        <v>30</v>
      </c>
      <c r="I74" s="1" t="s">
        <v>53</v>
      </c>
      <c r="J74" s="1" t="s">
        <v>32</v>
      </c>
      <c r="K74" s="1" t="s">
        <v>46</v>
      </c>
      <c r="L74" s="2">
        <v>46006</v>
      </c>
      <c r="M74" s="2">
        <v>46045</v>
      </c>
      <c r="N74">
        <v>1516719</v>
      </c>
      <c r="O74">
        <v>22607</v>
      </c>
      <c r="P74">
        <v>1494112</v>
      </c>
      <c r="Q74" s="1" t="s">
        <v>66</v>
      </c>
      <c r="R74" s="1" t="s">
        <v>109</v>
      </c>
      <c r="S74" s="1" t="s">
        <v>36</v>
      </c>
      <c r="T74" s="1" t="s">
        <v>37</v>
      </c>
      <c r="U74">
        <v>4.8</v>
      </c>
      <c r="V74" t="s">
        <v>38</v>
      </c>
      <c r="W74">
        <v>1</v>
      </c>
      <c r="X74" s="1" t="s">
        <v>88</v>
      </c>
    </row>
    <row r="75" spans="1:24" x14ac:dyDescent="0.55000000000000004">
      <c r="A75" s="1" t="s">
        <v>159</v>
      </c>
      <c r="B75" s="1" t="s">
        <v>51</v>
      </c>
      <c r="C75">
        <v>28</v>
      </c>
      <c r="D75" s="1" t="s">
        <v>26</v>
      </c>
      <c r="E75" s="1" t="s">
        <v>27</v>
      </c>
      <c r="F75" s="1" t="s">
        <v>28</v>
      </c>
      <c r="G75" s="1" t="s">
        <v>29</v>
      </c>
      <c r="H75" s="1" t="s">
        <v>30</v>
      </c>
      <c r="I75" s="1" t="s">
        <v>45</v>
      </c>
      <c r="J75" s="1" t="s">
        <v>32</v>
      </c>
      <c r="K75" s="1" t="s">
        <v>33</v>
      </c>
      <c r="L75" s="2">
        <v>46048</v>
      </c>
      <c r="M75" s="2">
        <v>46073</v>
      </c>
      <c r="N75">
        <v>1742184</v>
      </c>
      <c r="O75">
        <v>51077</v>
      </c>
      <c r="P75">
        <v>1691107</v>
      </c>
      <c r="Q75" s="1" t="s">
        <v>34</v>
      </c>
      <c r="R75" s="1" t="s">
        <v>35</v>
      </c>
      <c r="S75" s="1" t="s">
        <v>36</v>
      </c>
      <c r="T75" s="1" t="s">
        <v>36</v>
      </c>
      <c r="U75">
        <v>4.4000000000000004</v>
      </c>
      <c r="V75" t="s">
        <v>38</v>
      </c>
      <c r="W75">
        <v>2</v>
      </c>
      <c r="X75" s="1" t="s">
        <v>107</v>
      </c>
    </row>
    <row r="76" spans="1:24" x14ac:dyDescent="0.55000000000000004">
      <c r="A76" s="1" t="s">
        <v>160</v>
      </c>
      <c r="B76" s="1" t="s">
        <v>25</v>
      </c>
      <c r="C76">
        <v>57</v>
      </c>
      <c r="D76" s="1" t="s">
        <v>26</v>
      </c>
      <c r="E76" s="1" t="s">
        <v>84</v>
      </c>
      <c r="F76" s="1" t="s">
        <v>85</v>
      </c>
      <c r="G76" s="1" t="s">
        <v>29</v>
      </c>
      <c r="H76" s="1" t="s">
        <v>30</v>
      </c>
      <c r="I76" s="1" t="s">
        <v>53</v>
      </c>
      <c r="J76" s="1" t="s">
        <v>54</v>
      </c>
      <c r="K76" s="1" t="s">
        <v>46</v>
      </c>
      <c r="L76" s="2">
        <v>45809</v>
      </c>
      <c r="M76" s="2">
        <v>45829</v>
      </c>
      <c r="N76">
        <v>1837124</v>
      </c>
      <c r="O76">
        <v>20011</v>
      </c>
      <c r="P76">
        <v>1817113</v>
      </c>
      <c r="Q76" s="1" t="s">
        <v>34</v>
      </c>
      <c r="R76" s="1" t="s">
        <v>35</v>
      </c>
      <c r="S76" s="1" t="s">
        <v>37</v>
      </c>
      <c r="T76" s="1" t="s">
        <v>36</v>
      </c>
      <c r="U76">
        <v>4.4000000000000004</v>
      </c>
      <c r="V76" t="s">
        <v>56</v>
      </c>
      <c r="W76">
        <v>6</v>
      </c>
      <c r="X76" s="1" t="s">
        <v>68</v>
      </c>
    </row>
    <row r="77" spans="1:24" x14ac:dyDescent="0.55000000000000004">
      <c r="A77" s="1" t="s">
        <v>161</v>
      </c>
      <c r="B77" s="1" t="s">
        <v>81</v>
      </c>
      <c r="C77">
        <v>45</v>
      </c>
      <c r="D77" s="1" t="s">
        <v>26</v>
      </c>
      <c r="E77" s="1" t="s">
        <v>90</v>
      </c>
      <c r="F77" s="1" t="s">
        <v>44</v>
      </c>
      <c r="G77" s="1" t="s">
        <v>29</v>
      </c>
      <c r="H77" s="1" t="s">
        <v>65</v>
      </c>
      <c r="I77" s="1" t="s">
        <v>59</v>
      </c>
      <c r="J77" s="1" t="s">
        <v>54</v>
      </c>
      <c r="K77" s="1" t="s">
        <v>33</v>
      </c>
      <c r="L77" s="2">
        <v>46139</v>
      </c>
      <c r="M77" s="2">
        <v>46169</v>
      </c>
      <c r="N77">
        <v>1365284</v>
      </c>
      <c r="O77">
        <v>82854</v>
      </c>
      <c r="P77">
        <v>1282430</v>
      </c>
      <c r="Q77" s="1" t="s">
        <v>47</v>
      </c>
      <c r="R77" s="1" t="s">
        <v>67</v>
      </c>
      <c r="S77" s="1" t="s">
        <v>37</v>
      </c>
      <c r="T77" s="1" t="s">
        <v>36</v>
      </c>
      <c r="U77">
        <v>4.8</v>
      </c>
      <c r="V77" t="s">
        <v>38</v>
      </c>
      <c r="W77">
        <v>5</v>
      </c>
      <c r="X77" s="1" t="s">
        <v>86</v>
      </c>
    </row>
    <row r="78" spans="1:24" x14ac:dyDescent="0.55000000000000004">
      <c r="A78" s="1" t="s">
        <v>162</v>
      </c>
      <c r="B78" s="1" t="s">
        <v>83</v>
      </c>
      <c r="C78">
        <v>33</v>
      </c>
      <c r="D78" s="1" t="s">
        <v>26</v>
      </c>
      <c r="E78" s="1" t="s">
        <v>27</v>
      </c>
      <c r="F78" s="1" t="s">
        <v>28</v>
      </c>
      <c r="G78" s="1" t="s">
        <v>29</v>
      </c>
      <c r="H78" s="1" t="s">
        <v>65</v>
      </c>
      <c r="I78" s="1" t="s">
        <v>31</v>
      </c>
      <c r="J78" s="1" t="s">
        <v>54</v>
      </c>
      <c r="K78" s="1" t="s">
        <v>46</v>
      </c>
      <c r="L78" s="2">
        <v>45821</v>
      </c>
      <c r="M78" s="2">
        <v>45829</v>
      </c>
      <c r="N78">
        <v>1695631</v>
      </c>
      <c r="O78">
        <v>13586</v>
      </c>
      <c r="P78">
        <v>1682045</v>
      </c>
      <c r="Q78" s="1" t="s">
        <v>66</v>
      </c>
      <c r="R78" s="1" t="s">
        <v>35</v>
      </c>
      <c r="S78" s="1" t="s">
        <v>36</v>
      </c>
      <c r="T78" s="1" t="s">
        <v>37</v>
      </c>
      <c r="U78">
        <v>3.9</v>
      </c>
      <c r="V78" t="s">
        <v>91</v>
      </c>
      <c r="W78">
        <v>6</v>
      </c>
      <c r="X78" s="1" t="s">
        <v>68</v>
      </c>
    </row>
    <row r="79" spans="1:24" x14ac:dyDescent="0.55000000000000004">
      <c r="A79" s="1" t="s">
        <v>163</v>
      </c>
      <c r="B79" s="1" t="s">
        <v>62</v>
      </c>
      <c r="C79">
        <v>28</v>
      </c>
      <c r="D79" s="1" t="s">
        <v>26</v>
      </c>
      <c r="E79" s="1" t="s">
        <v>27</v>
      </c>
      <c r="F79" s="1" t="s">
        <v>28</v>
      </c>
      <c r="G79" s="1" t="s">
        <v>29</v>
      </c>
      <c r="H79" s="1" t="s">
        <v>65</v>
      </c>
      <c r="I79" s="1" t="s">
        <v>74</v>
      </c>
      <c r="J79" s="1" t="s">
        <v>54</v>
      </c>
      <c r="K79" s="1" t="s">
        <v>33</v>
      </c>
      <c r="L79" s="2">
        <v>45890</v>
      </c>
      <c r="M79" s="2">
        <v>45919</v>
      </c>
      <c r="N79">
        <v>1390937</v>
      </c>
      <c r="O79">
        <v>90703</v>
      </c>
      <c r="P79">
        <v>1300234</v>
      </c>
      <c r="Q79" s="1" t="s">
        <v>66</v>
      </c>
      <c r="R79" s="1" t="s">
        <v>48</v>
      </c>
      <c r="S79" s="1" t="s">
        <v>36</v>
      </c>
      <c r="T79" s="1" t="s">
        <v>36</v>
      </c>
      <c r="U79">
        <v>3.1</v>
      </c>
      <c r="V79" t="s">
        <v>38</v>
      </c>
      <c r="W79">
        <v>9</v>
      </c>
      <c r="X79" s="1" t="s">
        <v>103</v>
      </c>
    </row>
    <row r="80" spans="1:24" x14ac:dyDescent="0.55000000000000004">
      <c r="A80" s="1" t="s">
        <v>164</v>
      </c>
      <c r="B80" s="1" t="s">
        <v>98</v>
      </c>
      <c r="C80">
        <v>55</v>
      </c>
      <c r="D80" s="1" t="s">
        <v>42</v>
      </c>
      <c r="E80" s="1" t="s">
        <v>43</v>
      </c>
      <c r="F80" s="1" t="s">
        <v>44</v>
      </c>
      <c r="G80" s="1" t="s">
        <v>29</v>
      </c>
      <c r="H80" s="1" t="s">
        <v>65</v>
      </c>
      <c r="I80" s="1" t="s">
        <v>74</v>
      </c>
      <c r="J80" s="1" t="s">
        <v>54</v>
      </c>
      <c r="K80" s="1" t="s">
        <v>46</v>
      </c>
      <c r="L80" s="2">
        <v>45681</v>
      </c>
      <c r="M80" s="2">
        <v>45725</v>
      </c>
      <c r="N80">
        <v>1564484</v>
      </c>
      <c r="O80">
        <v>83192</v>
      </c>
      <c r="P80">
        <v>1481292</v>
      </c>
      <c r="Q80" s="1" t="s">
        <v>34</v>
      </c>
      <c r="R80" s="1" t="s">
        <v>35</v>
      </c>
      <c r="S80" s="1" t="s">
        <v>37</v>
      </c>
      <c r="T80" s="1" t="s">
        <v>37</v>
      </c>
      <c r="U80">
        <v>3.1</v>
      </c>
      <c r="V80" t="s">
        <v>38</v>
      </c>
      <c r="W80">
        <v>3</v>
      </c>
      <c r="X80" s="1" t="s">
        <v>96</v>
      </c>
    </row>
    <row r="81" spans="1:24" x14ac:dyDescent="0.55000000000000004">
      <c r="A81" s="1" t="s">
        <v>165</v>
      </c>
      <c r="B81" s="1" t="s">
        <v>25</v>
      </c>
      <c r="C81">
        <v>39</v>
      </c>
      <c r="D81" s="1" t="s">
        <v>42</v>
      </c>
      <c r="E81" s="1" t="s">
        <v>43</v>
      </c>
      <c r="F81" s="1" t="s">
        <v>44</v>
      </c>
      <c r="G81" s="1" t="s">
        <v>29</v>
      </c>
      <c r="H81" s="1" t="s">
        <v>77</v>
      </c>
      <c r="I81" s="1" t="s">
        <v>74</v>
      </c>
      <c r="J81" s="1" t="s">
        <v>54</v>
      </c>
      <c r="K81" s="1" t="s">
        <v>33</v>
      </c>
      <c r="L81" s="2">
        <v>45731</v>
      </c>
      <c r="M81" s="2">
        <v>45770</v>
      </c>
      <c r="N81">
        <v>1346560</v>
      </c>
      <c r="O81">
        <v>82839</v>
      </c>
      <c r="P81">
        <v>1263721</v>
      </c>
      <c r="Q81" s="1" t="s">
        <v>66</v>
      </c>
      <c r="R81" s="1" t="s">
        <v>109</v>
      </c>
      <c r="S81" s="1" t="s">
        <v>37</v>
      </c>
      <c r="T81" s="1" t="s">
        <v>37</v>
      </c>
      <c r="U81">
        <v>4.9000000000000004</v>
      </c>
      <c r="V81" t="s">
        <v>38</v>
      </c>
      <c r="W81">
        <v>4</v>
      </c>
      <c r="X81" s="1" t="s">
        <v>63</v>
      </c>
    </row>
    <row r="82" spans="1:24" x14ac:dyDescent="0.55000000000000004">
      <c r="A82" s="1" t="s">
        <v>166</v>
      </c>
      <c r="B82" s="1" t="s">
        <v>105</v>
      </c>
      <c r="C82">
        <v>35</v>
      </c>
      <c r="D82" s="1" t="s">
        <v>42</v>
      </c>
      <c r="E82" s="1" t="s">
        <v>43</v>
      </c>
      <c r="F82" s="1" t="s">
        <v>44</v>
      </c>
      <c r="G82" s="1" t="s">
        <v>29</v>
      </c>
      <c r="H82" s="1" t="s">
        <v>65</v>
      </c>
      <c r="I82" s="1" t="s">
        <v>59</v>
      </c>
      <c r="J82" s="1" t="s">
        <v>54</v>
      </c>
      <c r="K82" s="1" t="s">
        <v>33</v>
      </c>
      <c r="L82" s="2">
        <v>45757</v>
      </c>
      <c r="M82" s="2">
        <v>45780</v>
      </c>
      <c r="N82">
        <v>1568858</v>
      </c>
      <c r="O82">
        <v>38455</v>
      </c>
      <c r="P82">
        <v>1530403</v>
      </c>
      <c r="Q82" s="1" t="s">
        <v>66</v>
      </c>
      <c r="R82" s="1" t="s">
        <v>109</v>
      </c>
      <c r="S82" s="1" t="s">
        <v>37</v>
      </c>
      <c r="T82" s="1" t="s">
        <v>36</v>
      </c>
      <c r="U82">
        <v>3.8</v>
      </c>
      <c r="V82" t="s">
        <v>38</v>
      </c>
      <c r="W82">
        <v>5</v>
      </c>
      <c r="X82" s="1" t="s">
        <v>86</v>
      </c>
    </row>
    <row r="83" spans="1:24" x14ac:dyDescent="0.55000000000000004">
      <c r="A83" s="1" t="s">
        <v>167</v>
      </c>
      <c r="B83" s="1" t="s">
        <v>98</v>
      </c>
      <c r="C83">
        <v>22</v>
      </c>
      <c r="D83" s="1" t="s">
        <v>26</v>
      </c>
      <c r="E83" s="1" t="s">
        <v>71</v>
      </c>
      <c r="F83" s="1" t="s">
        <v>72</v>
      </c>
      <c r="G83" s="1" t="s">
        <v>29</v>
      </c>
      <c r="H83" s="1" t="s">
        <v>65</v>
      </c>
      <c r="I83" s="1" t="s">
        <v>53</v>
      </c>
      <c r="J83" s="1" t="s">
        <v>54</v>
      </c>
      <c r="K83" s="1" t="s">
        <v>33</v>
      </c>
      <c r="L83" s="2">
        <v>46073</v>
      </c>
      <c r="M83" s="2">
        <v>46090</v>
      </c>
      <c r="N83">
        <v>1596344</v>
      </c>
      <c r="O83">
        <v>58238</v>
      </c>
      <c r="P83">
        <v>1538106</v>
      </c>
      <c r="Q83" s="1" t="s">
        <v>34</v>
      </c>
      <c r="R83" s="1" t="s">
        <v>48</v>
      </c>
      <c r="S83" s="1" t="s">
        <v>36</v>
      </c>
      <c r="T83" s="1" t="s">
        <v>37</v>
      </c>
      <c r="U83">
        <v>3.2</v>
      </c>
      <c r="V83" t="s">
        <v>56</v>
      </c>
      <c r="W83">
        <v>3</v>
      </c>
      <c r="X83" s="1" t="s">
        <v>96</v>
      </c>
    </row>
    <row r="84" spans="1:24" x14ac:dyDescent="0.55000000000000004">
      <c r="A84" s="1" t="s">
        <v>168</v>
      </c>
      <c r="B84" s="1" t="s">
        <v>105</v>
      </c>
      <c r="C84">
        <v>48</v>
      </c>
      <c r="D84" s="1" t="s">
        <v>26</v>
      </c>
      <c r="E84" s="1" t="s">
        <v>84</v>
      </c>
      <c r="F84" s="1" t="s">
        <v>85</v>
      </c>
      <c r="G84" s="1" t="s">
        <v>29</v>
      </c>
      <c r="H84" s="1" t="s">
        <v>77</v>
      </c>
      <c r="I84" s="1" t="s">
        <v>53</v>
      </c>
      <c r="J84" s="1" t="s">
        <v>54</v>
      </c>
      <c r="K84" s="1" t="s">
        <v>33</v>
      </c>
      <c r="L84" s="2">
        <v>45851</v>
      </c>
      <c r="M84" s="2">
        <v>45871</v>
      </c>
      <c r="N84">
        <v>1498111</v>
      </c>
      <c r="O84">
        <v>15176</v>
      </c>
      <c r="P84">
        <v>1482935</v>
      </c>
      <c r="Q84" s="1" t="s">
        <v>55</v>
      </c>
      <c r="R84" s="1" t="s">
        <v>67</v>
      </c>
      <c r="S84" s="1" t="s">
        <v>36</v>
      </c>
      <c r="T84" s="1" t="s">
        <v>37</v>
      </c>
      <c r="U84">
        <v>3.8</v>
      </c>
      <c r="V84" t="s">
        <v>56</v>
      </c>
      <c r="W84">
        <v>8</v>
      </c>
      <c r="X84" s="1" t="s">
        <v>57</v>
      </c>
    </row>
    <row r="85" spans="1:24" x14ac:dyDescent="0.55000000000000004">
      <c r="A85" s="1" t="s">
        <v>169</v>
      </c>
      <c r="B85" s="1" t="s">
        <v>51</v>
      </c>
      <c r="C85">
        <v>43</v>
      </c>
      <c r="D85" s="1" t="s">
        <v>42</v>
      </c>
      <c r="E85" s="1" t="s">
        <v>71</v>
      </c>
      <c r="F85" s="1" t="s">
        <v>72</v>
      </c>
      <c r="G85" s="1" t="s">
        <v>29</v>
      </c>
      <c r="H85" s="1" t="s">
        <v>77</v>
      </c>
      <c r="I85" s="1" t="s">
        <v>53</v>
      </c>
      <c r="J85" s="1" t="s">
        <v>32</v>
      </c>
      <c r="K85" s="1" t="s">
        <v>33</v>
      </c>
      <c r="L85" s="2">
        <v>46108</v>
      </c>
      <c r="M85" s="2">
        <v>46138</v>
      </c>
      <c r="N85">
        <v>1630419</v>
      </c>
      <c r="O85">
        <v>74439</v>
      </c>
      <c r="P85">
        <v>1555980</v>
      </c>
      <c r="Q85" s="1" t="s">
        <v>66</v>
      </c>
      <c r="R85" s="1" t="s">
        <v>35</v>
      </c>
      <c r="S85" s="1" t="s">
        <v>37</v>
      </c>
      <c r="T85" s="1" t="s">
        <v>37</v>
      </c>
      <c r="U85">
        <v>4.4000000000000004</v>
      </c>
      <c r="V85" t="s">
        <v>38</v>
      </c>
      <c r="W85">
        <v>4</v>
      </c>
      <c r="X85" s="1" t="s">
        <v>63</v>
      </c>
    </row>
    <row r="86" spans="1:24" x14ac:dyDescent="0.55000000000000004">
      <c r="A86" s="1" t="s">
        <v>170</v>
      </c>
      <c r="B86" s="1" t="s">
        <v>41</v>
      </c>
      <c r="C86">
        <v>36</v>
      </c>
      <c r="D86" s="1" t="s">
        <v>42</v>
      </c>
      <c r="E86" s="1" t="s">
        <v>84</v>
      </c>
      <c r="F86" s="1" t="s">
        <v>85</v>
      </c>
      <c r="G86" s="1" t="s">
        <v>29</v>
      </c>
      <c r="H86" s="1" t="s">
        <v>30</v>
      </c>
      <c r="I86" s="1" t="s">
        <v>53</v>
      </c>
      <c r="J86" s="1" t="s">
        <v>32</v>
      </c>
      <c r="K86" s="1" t="s">
        <v>33</v>
      </c>
      <c r="L86" s="2">
        <v>46153</v>
      </c>
      <c r="M86" s="2">
        <v>46177</v>
      </c>
      <c r="N86">
        <v>1756217</v>
      </c>
      <c r="O86">
        <v>88704</v>
      </c>
      <c r="P86">
        <v>1667513</v>
      </c>
      <c r="Q86" s="1" t="s">
        <v>66</v>
      </c>
      <c r="R86" s="1" t="s">
        <v>79</v>
      </c>
      <c r="S86" s="1" t="s">
        <v>37</v>
      </c>
      <c r="T86" s="1" t="s">
        <v>37</v>
      </c>
      <c r="U86">
        <v>3.5</v>
      </c>
      <c r="V86" t="s">
        <v>38</v>
      </c>
      <c r="W86">
        <v>6</v>
      </c>
      <c r="X86" s="1" t="s">
        <v>68</v>
      </c>
    </row>
    <row r="87" spans="1:24" x14ac:dyDescent="0.55000000000000004">
      <c r="A87" s="1" t="s">
        <v>171</v>
      </c>
      <c r="B87" s="1" t="s">
        <v>105</v>
      </c>
      <c r="C87">
        <v>45</v>
      </c>
      <c r="D87" s="1" t="s">
        <v>42</v>
      </c>
      <c r="E87" s="1" t="s">
        <v>27</v>
      </c>
      <c r="F87" s="1" t="s">
        <v>28</v>
      </c>
      <c r="G87" s="1" t="s">
        <v>29</v>
      </c>
      <c r="H87" s="1" t="s">
        <v>77</v>
      </c>
      <c r="I87" s="1" t="s">
        <v>53</v>
      </c>
      <c r="J87" s="1" t="s">
        <v>54</v>
      </c>
      <c r="K87" s="1" t="s">
        <v>33</v>
      </c>
      <c r="L87" s="2">
        <v>45738</v>
      </c>
      <c r="M87" s="2">
        <v>45781</v>
      </c>
      <c r="N87">
        <v>1373683</v>
      </c>
      <c r="O87">
        <v>99912</v>
      </c>
      <c r="P87">
        <v>1273771</v>
      </c>
      <c r="Q87" s="1" t="s">
        <v>78</v>
      </c>
      <c r="R87" s="1" t="s">
        <v>48</v>
      </c>
      <c r="S87" s="1" t="s">
        <v>37</v>
      </c>
      <c r="T87" s="1" t="s">
        <v>37</v>
      </c>
      <c r="U87">
        <v>4.7</v>
      </c>
      <c r="V87" t="s">
        <v>38</v>
      </c>
      <c r="W87">
        <v>5</v>
      </c>
      <c r="X87" s="1" t="s">
        <v>86</v>
      </c>
    </row>
    <row r="88" spans="1:24" x14ac:dyDescent="0.55000000000000004">
      <c r="A88" s="1" t="s">
        <v>172</v>
      </c>
      <c r="B88" s="1" t="s">
        <v>70</v>
      </c>
      <c r="C88">
        <v>56</v>
      </c>
      <c r="D88" s="1" t="s">
        <v>26</v>
      </c>
      <c r="E88" s="1" t="s">
        <v>43</v>
      </c>
      <c r="F88" s="1" t="s">
        <v>44</v>
      </c>
      <c r="G88" s="1" t="s">
        <v>29</v>
      </c>
      <c r="H88" s="1" t="s">
        <v>65</v>
      </c>
      <c r="I88" s="1" t="s">
        <v>59</v>
      </c>
      <c r="J88" s="1" t="s">
        <v>54</v>
      </c>
      <c r="K88" s="1" t="s">
        <v>46</v>
      </c>
      <c r="L88" s="2">
        <v>46100</v>
      </c>
      <c r="M88" s="2">
        <v>46139</v>
      </c>
      <c r="N88">
        <v>1483625</v>
      </c>
      <c r="O88">
        <v>10091</v>
      </c>
      <c r="P88">
        <v>1473534</v>
      </c>
      <c r="Q88" s="1" t="s">
        <v>55</v>
      </c>
      <c r="R88" s="1" t="s">
        <v>79</v>
      </c>
      <c r="S88" s="1" t="s">
        <v>37</v>
      </c>
      <c r="T88" s="1" t="s">
        <v>37</v>
      </c>
      <c r="U88">
        <v>4.9000000000000004</v>
      </c>
      <c r="V88" t="s">
        <v>38</v>
      </c>
      <c r="W88">
        <v>4</v>
      </c>
      <c r="X88" s="1" t="s">
        <v>63</v>
      </c>
    </row>
    <row r="89" spans="1:24" x14ac:dyDescent="0.55000000000000004">
      <c r="A89" s="1" t="s">
        <v>173</v>
      </c>
      <c r="B89" s="1" t="s">
        <v>62</v>
      </c>
      <c r="C89">
        <v>45</v>
      </c>
      <c r="D89" s="1" t="s">
        <v>42</v>
      </c>
      <c r="E89" s="1" t="s">
        <v>71</v>
      </c>
      <c r="F89" s="1" t="s">
        <v>72</v>
      </c>
      <c r="G89" s="1" t="s">
        <v>29</v>
      </c>
      <c r="H89" s="1" t="s">
        <v>77</v>
      </c>
      <c r="I89" s="1" t="s">
        <v>31</v>
      </c>
      <c r="J89" s="1" t="s">
        <v>54</v>
      </c>
      <c r="K89" s="1" t="s">
        <v>46</v>
      </c>
      <c r="L89" s="2">
        <v>46038</v>
      </c>
      <c r="M89" s="2">
        <v>46063</v>
      </c>
      <c r="N89">
        <v>1868717</v>
      </c>
      <c r="O89">
        <v>51920</v>
      </c>
      <c r="P89">
        <v>1816797</v>
      </c>
      <c r="Q89" s="1" t="s">
        <v>47</v>
      </c>
      <c r="R89" s="1" t="s">
        <v>48</v>
      </c>
      <c r="S89" s="1" t="s">
        <v>36</v>
      </c>
      <c r="T89" s="1" t="s">
        <v>36</v>
      </c>
      <c r="U89">
        <v>4.7</v>
      </c>
      <c r="V89" t="s">
        <v>38</v>
      </c>
      <c r="W89">
        <v>2</v>
      </c>
      <c r="X89" s="1" t="s">
        <v>107</v>
      </c>
    </row>
    <row r="90" spans="1:24" x14ac:dyDescent="0.55000000000000004">
      <c r="A90" s="1" t="s">
        <v>174</v>
      </c>
      <c r="B90" s="1" t="s">
        <v>41</v>
      </c>
      <c r="C90">
        <v>46</v>
      </c>
      <c r="D90" s="1" t="s">
        <v>26</v>
      </c>
      <c r="E90" s="1" t="s">
        <v>27</v>
      </c>
      <c r="F90" s="1" t="s">
        <v>28</v>
      </c>
      <c r="G90" s="1" t="s">
        <v>29</v>
      </c>
      <c r="H90" s="1" t="s">
        <v>30</v>
      </c>
      <c r="I90" s="1" t="s">
        <v>31</v>
      </c>
      <c r="J90" s="1" t="s">
        <v>54</v>
      </c>
      <c r="K90" s="1" t="s">
        <v>33</v>
      </c>
      <c r="L90" s="2">
        <v>45898</v>
      </c>
      <c r="M90" s="2">
        <v>45938</v>
      </c>
      <c r="N90">
        <v>1517346</v>
      </c>
      <c r="O90">
        <v>68118</v>
      </c>
      <c r="P90">
        <v>1449228</v>
      </c>
      <c r="Q90" s="1" t="s">
        <v>34</v>
      </c>
      <c r="R90" s="1" t="s">
        <v>35</v>
      </c>
      <c r="S90" s="1" t="s">
        <v>36</v>
      </c>
      <c r="T90" s="1" t="s">
        <v>36</v>
      </c>
      <c r="U90">
        <v>4.7</v>
      </c>
      <c r="V90" t="s">
        <v>38</v>
      </c>
      <c r="W90">
        <v>10</v>
      </c>
      <c r="X90" s="1" t="s">
        <v>75</v>
      </c>
    </row>
    <row r="91" spans="1:24" x14ac:dyDescent="0.55000000000000004">
      <c r="A91" s="1" t="s">
        <v>175</v>
      </c>
      <c r="B91" s="1" t="s">
        <v>93</v>
      </c>
      <c r="C91">
        <v>23</v>
      </c>
      <c r="D91" s="1" t="s">
        <v>42</v>
      </c>
      <c r="E91" s="1" t="s">
        <v>43</v>
      </c>
      <c r="F91" s="1" t="s">
        <v>44</v>
      </c>
      <c r="G91" s="1" t="s">
        <v>29</v>
      </c>
      <c r="H91" s="1" t="s">
        <v>30</v>
      </c>
      <c r="I91" s="1" t="s">
        <v>45</v>
      </c>
      <c r="J91" s="1" t="s">
        <v>32</v>
      </c>
      <c r="K91" s="1" t="s">
        <v>33</v>
      </c>
      <c r="L91" s="2">
        <v>45950</v>
      </c>
      <c r="M91" s="2">
        <v>45977</v>
      </c>
      <c r="N91">
        <v>1699569</v>
      </c>
      <c r="O91">
        <v>25335</v>
      </c>
      <c r="P91">
        <v>1674234</v>
      </c>
      <c r="Q91" s="1" t="s">
        <v>78</v>
      </c>
      <c r="R91" s="1" t="s">
        <v>35</v>
      </c>
      <c r="S91" s="1" t="s">
        <v>37</v>
      </c>
      <c r="T91" s="1" t="s">
        <v>37</v>
      </c>
      <c r="U91">
        <v>4.8</v>
      </c>
      <c r="V91" t="s">
        <v>38</v>
      </c>
      <c r="W91">
        <v>11</v>
      </c>
      <c r="X91" s="1" t="s">
        <v>60</v>
      </c>
    </row>
    <row r="92" spans="1:24" x14ac:dyDescent="0.55000000000000004">
      <c r="A92" s="1" t="s">
        <v>176</v>
      </c>
      <c r="B92" s="1" t="s">
        <v>81</v>
      </c>
      <c r="C92">
        <v>24</v>
      </c>
      <c r="D92" s="1" t="s">
        <v>26</v>
      </c>
      <c r="E92" s="1" t="s">
        <v>43</v>
      </c>
      <c r="F92" s="1" t="s">
        <v>44</v>
      </c>
      <c r="G92" s="1" t="s">
        <v>29</v>
      </c>
      <c r="H92" s="1" t="s">
        <v>30</v>
      </c>
      <c r="I92" s="1" t="s">
        <v>59</v>
      </c>
      <c r="J92" s="1" t="s">
        <v>54</v>
      </c>
      <c r="K92" s="1" t="s">
        <v>46</v>
      </c>
      <c r="L92" s="2">
        <v>46143</v>
      </c>
      <c r="M92" s="2">
        <v>46159</v>
      </c>
      <c r="N92">
        <v>1766919</v>
      </c>
      <c r="O92">
        <v>19672</v>
      </c>
      <c r="P92">
        <v>1747247</v>
      </c>
      <c r="Q92" s="1" t="s">
        <v>47</v>
      </c>
      <c r="R92" s="1" t="s">
        <v>35</v>
      </c>
      <c r="S92" s="1" t="s">
        <v>37</v>
      </c>
      <c r="T92" s="1" t="s">
        <v>36</v>
      </c>
      <c r="U92">
        <v>4</v>
      </c>
      <c r="V92" t="s">
        <v>56</v>
      </c>
      <c r="W92">
        <v>5</v>
      </c>
      <c r="X92" s="1" t="s">
        <v>86</v>
      </c>
    </row>
    <row r="93" spans="1:24" x14ac:dyDescent="0.55000000000000004">
      <c r="A93" s="1" t="s">
        <v>177</v>
      </c>
      <c r="B93" s="1" t="s">
        <v>41</v>
      </c>
      <c r="C93">
        <v>51</v>
      </c>
      <c r="D93" s="1" t="s">
        <v>26</v>
      </c>
      <c r="E93" s="1" t="s">
        <v>52</v>
      </c>
      <c r="F93" s="1" t="s">
        <v>44</v>
      </c>
      <c r="G93" s="1" t="s">
        <v>29</v>
      </c>
      <c r="H93" s="1" t="s">
        <v>30</v>
      </c>
      <c r="I93" s="1" t="s">
        <v>74</v>
      </c>
      <c r="J93" s="1" t="s">
        <v>54</v>
      </c>
      <c r="K93" s="1" t="s">
        <v>33</v>
      </c>
      <c r="L93" s="2">
        <v>46125</v>
      </c>
      <c r="M93" s="2">
        <v>46154</v>
      </c>
      <c r="N93">
        <v>1876360</v>
      </c>
      <c r="O93">
        <v>89731</v>
      </c>
      <c r="P93">
        <v>1786629</v>
      </c>
      <c r="Q93" s="1" t="s">
        <v>78</v>
      </c>
      <c r="R93" s="1" t="s">
        <v>35</v>
      </c>
      <c r="S93" s="1" t="s">
        <v>36</v>
      </c>
      <c r="T93" s="1" t="s">
        <v>37</v>
      </c>
      <c r="U93">
        <v>4.0999999999999996</v>
      </c>
      <c r="V93" t="s">
        <v>38</v>
      </c>
      <c r="W93">
        <v>5</v>
      </c>
      <c r="X93" s="1" t="s">
        <v>86</v>
      </c>
    </row>
    <row r="94" spans="1:24" x14ac:dyDescent="0.55000000000000004">
      <c r="A94" s="1" t="s">
        <v>178</v>
      </c>
      <c r="B94" s="1" t="s">
        <v>81</v>
      </c>
      <c r="C94">
        <v>48</v>
      </c>
      <c r="D94" s="1" t="s">
        <v>42</v>
      </c>
      <c r="E94" s="1" t="s">
        <v>43</v>
      </c>
      <c r="F94" s="1" t="s">
        <v>44</v>
      </c>
      <c r="G94" s="1" t="s">
        <v>29</v>
      </c>
      <c r="H94" s="1" t="s">
        <v>30</v>
      </c>
      <c r="I94" s="1" t="s">
        <v>74</v>
      </c>
      <c r="J94" s="1" t="s">
        <v>54</v>
      </c>
      <c r="K94" s="1" t="s">
        <v>46</v>
      </c>
      <c r="L94" s="2">
        <v>45828</v>
      </c>
      <c r="M94" s="2">
        <v>45872</v>
      </c>
      <c r="N94">
        <v>1755342</v>
      </c>
      <c r="O94">
        <v>88557</v>
      </c>
      <c r="P94">
        <v>1666785</v>
      </c>
      <c r="Q94" s="1" t="s">
        <v>55</v>
      </c>
      <c r="R94" s="1" t="s">
        <v>67</v>
      </c>
      <c r="S94" s="1" t="s">
        <v>36</v>
      </c>
      <c r="T94" s="1" t="s">
        <v>37</v>
      </c>
      <c r="U94">
        <v>3</v>
      </c>
      <c r="V94" t="s">
        <v>38</v>
      </c>
      <c r="W94">
        <v>8</v>
      </c>
      <c r="X94" s="1" t="s">
        <v>57</v>
      </c>
    </row>
    <row r="95" spans="1:24" x14ac:dyDescent="0.55000000000000004">
      <c r="A95" s="1" t="s">
        <v>179</v>
      </c>
      <c r="B95" s="1" t="s">
        <v>93</v>
      </c>
      <c r="C95">
        <v>46</v>
      </c>
      <c r="D95" s="1" t="s">
        <v>26</v>
      </c>
      <c r="E95" s="1" t="s">
        <v>43</v>
      </c>
      <c r="F95" s="1" t="s">
        <v>44</v>
      </c>
      <c r="G95" s="1" t="s">
        <v>29</v>
      </c>
      <c r="H95" s="1" t="s">
        <v>30</v>
      </c>
      <c r="I95" s="1" t="s">
        <v>45</v>
      </c>
      <c r="J95" s="1" t="s">
        <v>32</v>
      </c>
      <c r="K95" s="1" t="s">
        <v>46</v>
      </c>
      <c r="L95" s="2">
        <v>45943</v>
      </c>
      <c r="M95" s="2">
        <v>45985</v>
      </c>
      <c r="N95">
        <v>1876090</v>
      </c>
      <c r="O95">
        <v>57544</v>
      </c>
      <c r="P95">
        <v>1818546</v>
      </c>
      <c r="Q95" s="1" t="s">
        <v>55</v>
      </c>
      <c r="R95" s="1" t="s">
        <v>35</v>
      </c>
      <c r="S95" s="1" t="s">
        <v>36</v>
      </c>
      <c r="T95" s="1" t="s">
        <v>36</v>
      </c>
      <c r="U95">
        <v>3.4</v>
      </c>
      <c r="V95" t="s">
        <v>38</v>
      </c>
      <c r="W95">
        <v>11</v>
      </c>
      <c r="X95" s="1" t="s">
        <v>60</v>
      </c>
    </row>
    <row r="96" spans="1:24" x14ac:dyDescent="0.55000000000000004">
      <c r="A96" s="1" t="s">
        <v>180</v>
      </c>
      <c r="B96" s="1" t="s">
        <v>93</v>
      </c>
      <c r="C96">
        <v>60</v>
      </c>
      <c r="D96" s="1" t="s">
        <v>42</v>
      </c>
      <c r="E96" s="1" t="s">
        <v>90</v>
      </c>
      <c r="F96" s="1" t="s">
        <v>44</v>
      </c>
      <c r="G96" s="1" t="s">
        <v>29</v>
      </c>
      <c r="H96" s="1" t="s">
        <v>77</v>
      </c>
      <c r="I96" s="1" t="s">
        <v>31</v>
      </c>
      <c r="J96" s="1" t="s">
        <v>32</v>
      </c>
      <c r="K96" s="1" t="s">
        <v>46</v>
      </c>
      <c r="L96" s="2">
        <v>46183</v>
      </c>
      <c r="M96" s="2">
        <v>46223</v>
      </c>
      <c r="N96">
        <v>1865744</v>
      </c>
      <c r="O96">
        <v>19843</v>
      </c>
      <c r="P96">
        <v>1845901</v>
      </c>
      <c r="Q96" s="1" t="s">
        <v>66</v>
      </c>
      <c r="R96" s="1" t="s">
        <v>35</v>
      </c>
      <c r="S96" s="1" t="s">
        <v>37</v>
      </c>
      <c r="T96" s="1" t="s">
        <v>36</v>
      </c>
      <c r="U96">
        <v>5</v>
      </c>
      <c r="V96" t="s">
        <v>38</v>
      </c>
      <c r="W96">
        <v>7</v>
      </c>
      <c r="X96" s="1" t="s">
        <v>39</v>
      </c>
    </row>
    <row r="97" spans="1:24" x14ac:dyDescent="0.55000000000000004">
      <c r="A97" s="1" t="s">
        <v>181</v>
      </c>
      <c r="B97" s="1" t="s">
        <v>51</v>
      </c>
      <c r="C97">
        <v>43</v>
      </c>
      <c r="D97" s="1" t="s">
        <v>42</v>
      </c>
      <c r="E97" s="1" t="s">
        <v>27</v>
      </c>
      <c r="F97" s="1" t="s">
        <v>28</v>
      </c>
      <c r="G97" s="1" t="s">
        <v>29</v>
      </c>
      <c r="H97" s="1" t="s">
        <v>65</v>
      </c>
      <c r="I97" s="1" t="s">
        <v>31</v>
      </c>
      <c r="J97" s="1" t="s">
        <v>54</v>
      </c>
      <c r="K97" s="1" t="s">
        <v>33</v>
      </c>
      <c r="L97" s="2">
        <v>45668</v>
      </c>
      <c r="M97" s="2">
        <v>45712</v>
      </c>
      <c r="N97">
        <v>1613627</v>
      </c>
      <c r="O97">
        <v>19612</v>
      </c>
      <c r="P97">
        <v>1594015</v>
      </c>
      <c r="Q97" s="1" t="s">
        <v>78</v>
      </c>
      <c r="R97" s="1" t="s">
        <v>109</v>
      </c>
      <c r="S97" s="1" t="s">
        <v>36</v>
      </c>
      <c r="T97" s="1" t="s">
        <v>36</v>
      </c>
      <c r="U97">
        <v>4.2</v>
      </c>
      <c r="V97" t="s">
        <v>38</v>
      </c>
      <c r="W97">
        <v>2</v>
      </c>
      <c r="X97" s="1" t="s">
        <v>107</v>
      </c>
    </row>
    <row r="98" spans="1:24" x14ac:dyDescent="0.55000000000000004">
      <c r="A98" s="1" t="s">
        <v>182</v>
      </c>
      <c r="B98" s="1" t="s">
        <v>25</v>
      </c>
      <c r="C98">
        <v>27</v>
      </c>
      <c r="D98" s="1" t="s">
        <v>26</v>
      </c>
      <c r="E98" s="1" t="s">
        <v>90</v>
      </c>
      <c r="F98" s="1" t="s">
        <v>44</v>
      </c>
      <c r="G98" s="1" t="s">
        <v>29</v>
      </c>
      <c r="H98" s="1" t="s">
        <v>65</v>
      </c>
      <c r="I98" s="1" t="s">
        <v>31</v>
      </c>
      <c r="J98" s="1" t="s">
        <v>32</v>
      </c>
      <c r="K98" s="1" t="s">
        <v>46</v>
      </c>
      <c r="L98" s="2">
        <v>45713</v>
      </c>
      <c r="M98" s="2">
        <v>45747</v>
      </c>
      <c r="N98">
        <v>1671377</v>
      </c>
      <c r="O98">
        <v>64874</v>
      </c>
      <c r="P98">
        <v>1606503</v>
      </c>
      <c r="Q98" s="1" t="s">
        <v>47</v>
      </c>
      <c r="R98" s="1" t="s">
        <v>79</v>
      </c>
      <c r="S98" s="1" t="s">
        <v>37</v>
      </c>
      <c r="T98" s="1" t="s">
        <v>37</v>
      </c>
      <c r="U98">
        <v>3.5</v>
      </c>
      <c r="V98" t="s">
        <v>38</v>
      </c>
      <c r="W98">
        <v>3</v>
      </c>
      <c r="X98" s="1" t="s">
        <v>96</v>
      </c>
    </row>
    <row r="99" spans="1:24" x14ac:dyDescent="0.55000000000000004">
      <c r="A99" s="1" t="s">
        <v>183</v>
      </c>
      <c r="B99" s="1" t="s">
        <v>83</v>
      </c>
      <c r="C99">
        <v>45</v>
      </c>
      <c r="D99" s="1" t="s">
        <v>26</v>
      </c>
      <c r="E99" s="1" t="s">
        <v>84</v>
      </c>
      <c r="F99" s="1" t="s">
        <v>85</v>
      </c>
      <c r="G99" s="1" t="s">
        <v>29</v>
      </c>
      <c r="H99" s="1" t="s">
        <v>65</v>
      </c>
      <c r="I99" s="1" t="s">
        <v>59</v>
      </c>
      <c r="J99" s="1" t="s">
        <v>54</v>
      </c>
      <c r="K99" s="1" t="s">
        <v>46</v>
      </c>
      <c r="L99" s="2">
        <v>46057</v>
      </c>
      <c r="M99" s="2">
        <v>46066</v>
      </c>
      <c r="N99">
        <v>1848418</v>
      </c>
      <c r="O99">
        <v>28329</v>
      </c>
      <c r="P99">
        <v>1820089</v>
      </c>
      <c r="Q99" s="1" t="s">
        <v>66</v>
      </c>
      <c r="R99" s="1" t="s">
        <v>35</v>
      </c>
      <c r="S99" s="1" t="s">
        <v>37</v>
      </c>
      <c r="T99" s="1" t="s">
        <v>36</v>
      </c>
      <c r="U99">
        <v>3.2</v>
      </c>
      <c r="V99" t="s">
        <v>91</v>
      </c>
      <c r="W99">
        <v>2</v>
      </c>
      <c r="X99" s="1" t="s">
        <v>107</v>
      </c>
    </row>
    <row r="100" spans="1:24" x14ac:dyDescent="0.55000000000000004">
      <c r="A100" s="1" t="s">
        <v>184</v>
      </c>
      <c r="B100" s="1" t="s">
        <v>70</v>
      </c>
      <c r="C100">
        <v>53</v>
      </c>
      <c r="D100" s="1" t="s">
        <v>26</v>
      </c>
      <c r="E100" s="1" t="s">
        <v>43</v>
      </c>
      <c r="F100" s="1" t="s">
        <v>44</v>
      </c>
      <c r="G100" s="1" t="s">
        <v>29</v>
      </c>
      <c r="H100" s="1" t="s">
        <v>65</v>
      </c>
      <c r="I100" s="1" t="s">
        <v>59</v>
      </c>
      <c r="J100" s="1" t="s">
        <v>54</v>
      </c>
      <c r="K100" s="1" t="s">
        <v>33</v>
      </c>
      <c r="L100" s="2">
        <v>46187</v>
      </c>
      <c r="M100" s="2">
        <v>46206</v>
      </c>
      <c r="N100">
        <v>1546010</v>
      </c>
      <c r="O100">
        <v>48962</v>
      </c>
      <c r="P100">
        <v>1497048</v>
      </c>
      <c r="Q100" s="1" t="s">
        <v>47</v>
      </c>
      <c r="R100" s="1" t="s">
        <v>67</v>
      </c>
      <c r="S100" s="1" t="s">
        <v>37</v>
      </c>
      <c r="T100" s="1" t="s">
        <v>37</v>
      </c>
      <c r="U100">
        <v>4.3</v>
      </c>
      <c r="V100" t="s">
        <v>56</v>
      </c>
      <c r="W100">
        <v>7</v>
      </c>
      <c r="X100" s="1" t="s">
        <v>39</v>
      </c>
    </row>
    <row r="101" spans="1:24" x14ac:dyDescent="0.55000000000000004">
      <c r="A101" s="1" t="s">
        <v>185</v>
      </c>
      <c r="B101" s="1" t="s">
        <v>98</v>
      </c>
      <c r="C101">
        <v>36</v>
      </c>
      <c r="D101" s="1" t="s">
        <v>26</v>
      </c>
      <c r="E101" s="1" t="s">
        <v>52</v>
      </c>
      <c r="F101" s="1" t="s">
        <v>44</v>
      </c>
      <c r="G101" s="1" t="s">
        <v>29</v>
      </c>
      <c r="H101" s="1" t="s">
        <v>65</v>
      </c>
      <c r="I101" s="1" t="s">
        <v>45</v>
      </c>
      <c r="J101" s="1" t="s">
        <v>54</v>
      </c>
      <c r="K101" s="1" t="s">
        <v>33</v>
      </c>
      <c r="L101" s="2">
        <v>46077</v>
      </c>
      <c r="M101" s="2">
        <v>46101</v>
      </c>
      <c r="N101">
        <v>1348735</v>
      </c>
      <c r="O101">
        <v>21899</v>
      </c>
      <c r="P101">
        <v>1326836</v>
      </c>
      <c r="Q101" s="1" t="s">
        <v>55</v>
      </c>
      <c r="R101" s="1" t="s">
        <v>109</v>
      </c>
      <c r="S101" s="1" t="s">
        <v>37</v>
      </c>
      <c r="T101" s="1" t="s">
        <v>36</v>
      </c>
      <c r="U101">
        <v>3.9</v>
      </c>
      <c r="V101" t="s">
        <v>38</v>
      </c>
      <c r="W101">
        <v>3</v>
      </c>
      <c r="X101" s="1" t="s">
        <v>96</v>
      </c>
    </row>
    <row r="102" spans="1:24" x14ac:dyDescent="0.55000000000000004">
      <c r="A102" s="1" t="s">
        <v>186</v>
      </c>
      <c r="B102" s="1" t="s">
        <v>83</v>
      </c>
      <c r="C102">
        <v>37</v>
      </c>
      <c r="D102" s="1" t="s">
        <v>26</v>
      </c>
      <c r="E102" s="1" t="s">
        <v>43</v>
      </c>
      <c r="F102" s="1" t="s">
        <v>44</v>
      </c>
      <c r="G102" s="1" t="s">
        <v>29</v>
      </c>
      <c r="H102" s="1" t="s">
        <v>30</v>
      </c>
      <c r="I102" s="1" t="s">
        <v>53</v>
      </c>
      <c r="J102" s="1" t="s">
        <v>32</v>
      </c>
      <c r="K102" s="1" t="s">
        <v>33</v>
      </c>
      <c r="L102" s="2">
        <v>46003</v>
      </c>
      <c r="M102" s="2">
        <v>46028</v>
      </c>
      <c r="N102">
        <v>1884213</v>
      </c>
      <c r="O102">
        <v>47554</v>
      </c>
      <c r="P102">
        <v>1836659</v>
      </c>
      <c r="Q102" s="1" t="s">
        <v>55</v>
      </c>
      <c r="R102" s="1" t="s">
        <v>48</v>
      </c>
      <c r="S102" s="1" t="s">
        <v>37</v>
      </c>
      <c r="T102" s="1" t="s">
        <v>37</v>
      </c>
      <c r="U102">
        <v>3.8</v>
      </c>
      <c r="V102" t="s">
        <v>38</v>
      </c>
      <c r="W102">
        <v>1</v>
      </c>
      <c r="X102" s="1" t="s">
        <v>88</v>
      </c>
    </row>
    <row r="103" spans="1:24" x14ac:dyDescent="0.55000000000000004">
      <c r="A103" s="1" t="s">
        <v>187</v>
      </c>
      <c r="B103" s="1" t="s">
        <v>25</v>
      </c>
      <c r="C103">
        <v>38</v>
      </c>
      <c r="D103" s="1" t="s">
        <v>26</v>
      </c>
      <c r="E103" s="1" t="s">
        <v>43</v>
      </c>
      <c r="F103" s="1" t="s">
        <v>44</v>
      </c>
      <c r="G103" s="1" t="s">
        <v>29</v>
      </c>
      <c r="H103" s="1" t="s">
        <v>30</v>
      </c>
      <c r="I103" s="1" t="s">
        <v>59</v>
      </c>
      <c r="J103" s="1" t="s">
        <v>32</v>
      </c>
      <c r="K103" s="1" t="s">
        <v>33</v>
      </c>
      <c r="L103" s="2">
        <v>46035</v>
      </c>
      <c r="M103" s="2">
        <v>46075</v>
      </c>
      <c r="N103">
        <v>1567976</v>
      </c>
      <c r="O103">
        <v>19566</v>
      </c>
      <c r="P103">
        <v>1548410</v>
      </c>
      <c r="Q103" s="1" t="s">
        <v>47</v>
      </c>
      <c r="R103" s="1" t="s">
        <v>35</v>
      </c>
      <c r="S103" s="1" t="s">
        <v>36</v>
      </c>
      <c r="T103" s="1" t="s">
        <v>37</v>
      </c>
      <c r="U103">
        <v>3.7</v>
      </c>
      <c r="V103" t="s">
        <v>38</v>
      </c>
      <c r="W103">
        <v>2</v>
      </c>
      <c r="X103" s="1" t="s">
        <v>107</v>
      </c>
    </row>
    <row r="104" spans="1:24" x14ac:dyDescent="0.55000000000000004">
      <c r="A104" s="1" t="s">
        <v>188</v>
      </c>
      <c r="B104" s="1" t="s">
        <v>62</v>
      </c>
      <c r="C104">
        <v>38</v>
      </c>
      <c r="D104" s="1" t="s">
        <v>26</v>
      </c>
      <c r="E104" s="1" t="s">
        <v>43</v>
      </c>
      <c r="F104" s="1" t="s">
        <v>44</v>
      </c>
      <c r="G104" s="1" t="s">
        <v>29</v>
      </c>
      <c r="H104" s="1" t="s">
        <v>65</v>
      </c>
      <c r="I104" s="1" t="s">
        <v>74</v>
      </c>
      <c r="J104" s="1" t="s">
        <v>54</v>
      </c>
      <c r="K104" s="1" t="s">
        <v>33</v>
      </c>
      <c r="L104" s="2">
        <v>45675</v>
      </c>
      <c r="M104" s="2">
        <v>45715</v>
      </c>
      <c r="N104">
        <v>1469932</v>
      </c>
      <c r="O104">
        <v>94486</v>
      </c>
      <c r="P104">
        <v>1375446</v>
      </c>
      <c r="Q104" s="1" t="s">
        <v>78</v>
      </c>
      <c r="R104" s="1" t="s">
        <v>79</v>
      </c>
      <c r="S104" s="1" t="s">
        <v>36</v>
      </c>
      <c r="T104" s="1" t="s">
        <v>36</v>
      </c>
      <c r="U104">
        <v>4.9000000000000004</v>
      </c>
      <c r="V104" t="s">
        <v>38</v>
      </c>
      <c r="W104">
        <v>2</v>
      </c>
      <c r="X104" s="1" t="s">
        <v>107</v>
      </c>
    </row>
    <row r="105" spans="1:24" x14ac:dyDescent="0.55000000000000004">
      <c r="A105" s="1" t="s">
        <v>189</v>
      </c>
      <c r="B105" s="1" t="s">
        <v>41</v>
      </c>
      <c r="C105">
        <v>21</v>
      </c>
      <c r="D105" s="1" t="s">
        <v>42</v>
      </c>
      <c r="E105" s="1" t="s">
        <v>52</v>
      </c>
      <c r="F105" s="1" t="s">
        <v>44</v>
      </c>
      <c r="G105" s="1" t="s">
        <v>29</v>
      </c>
      <c r="H105" s="1" t="s">
        <v>65</v>
      </c>
      <c r="I105" s="1" t="s">
        <v>53</v>
      </c>
      <c r="J105" s="1" t="s">
        <v>54</v>
      </c>
      <c r="K105" s="1" t="s">
        <v>46</v>
      </c>
      <c r="L105" s="2">
        <v>46028</v>
      </c>
      <c r="M105" s="2">
        <v>46046</v>
      </c>
      <c r="N105">
        <v>1345096</v>
      </c>
      <c r="O105">
        <v>10777</v>
      </c>
      <c r="P105">
        <v>1334319</v>
      </c>
      <c r="Q105" s="1" t="s">
        <v>34</v>
      </c>
      <c r="R105" s="1" t="s">
        <v>35</v>
      </c>
      <c r="S105" s="1" t="s">
        <v>37</v>
      </c>
      <c r="T105" s="1" t="s">
        <v>37</v>
      </c>
      <c r="U105">
        <v>3.1</v>
      </c>
      <c r="V105" t="s">
        <v>56</v>
      </c>
      <c r="W105">
        <v>1</v>
      </c>
      <c r="X105" s="1" t="s">
        <v>88</v>
      </c>
    </row>
    <row r="106" spans="1:24" x14ac:dyDescent="0.55000000000000004">
      <c r="A106" s="1" t="s">
        <v>190</v>
      </c>
      <c r="B106" s="1" t="s">
        <v>51</v>
      </c>
      <c r="C106">
        <v>56</v>
      </c>
      <c r="D106" s="1" t="s">
        <v>26</v>
      </c>
      <c r="E106" s="1" t="s">
        <v>71</v>
      </c>
      <c r="F106" s="1" t="s">
        <v>72</v>
      </c>
      <c r="G106" s="1" t="s">
        <v>29</v>
      </c>
      <c r="H106" s="1" t="s">
        <v>65</v>
      </c>
      <c r="I106" s="1" t="s">
        <v>53</v>
      </c>
      <c r="J106" s="1" t="s">
        <v>32</v>
      </c>
      <c r="K106" s="1" t="s">
        <v>46</v>
      </c>
      <c r="L106" s="2">
        <v>45658</v>
      </c>
      <c r="M106" s="2">
        <v>45691</v>
      </c>
      <c r="N106">
        <v>1397943</v>
      </c>
      <c r="O106">
        <v>51723</v>
      </c>
      <c r="P106">
        <v>1346220</v>
      </c>
      <c r="Q106" s="1" t="s">
        <v>78</v>
      </c>
      <c r="R106" s="1" t="s">
        <v>109</v>
      </c>
      <c r="S106" s="1" t="s">
        <v>37</v>
      </c>
      <c r="T106" s="1" t="s">
        <v>37</v>
      </c>
      <c r="U106">
        <v>3.9</v>
      </c>
      <c r="V106" t="s">
        <v>38</v>
      </c>
      <c r="W106">
        <v>2</v>
      </c>
      <c r="X106" s="1" t="s">
        <v>107</v>
      </c>
    </row>
    <row r="107" spans="1:24" x14ac:dyDescent="0.55000000000000004">
      <c r="A107" s="1" t="s">
        <v>191</v>
      </c>
      <c r="B107" s="1" t="s">
        <v>81</v>
      </c>
      <c r="C107">
        <v>50</v>
      </c>
      <c r="D107" s="1" t="s">
        <v>26</v>
      </c>
      <c r="E107" s="1" t="s">
        <v>84</v>
      </c>
      <c r="F107" s="1" t="s">
        <v>85</v>
      </c>
      <c r="G107" s="1" t="s">
        <v>29</v>
      </c>
      <c r="H107" s="1" t="s">
        <v>77</v>
      </c>
      <c r="I107" s="1" t="s">
        <v>31</v>
      </c>
      <c r="J107" s="1" t="s">
        <v>32</v>
      </c>
      <c r="K107" s="1" t="s">
        <v>33</v>
      </c>
      <c r="L107" s="2">
        <v>45972</v>
      </c>
      <c r="M107" s="2">
        <v>45996</v>
      </c>
      <c r="N107">
        <v>1378763</v>
      </c>
      <c r="O107">
        <v>96434</v>
      </c>
      <c r="P107">
        <v>1282329</v>
      </c>
      <c r="Q107" s="1" t="s">
        <v>78</v>
      </c>
      <c r="R107" s="1" t="s">
        <v>35</v>
      </c>
      <c r="S107" s="1" t="s">
        <v>36</v>
      </c>
      <c r="T107" s="1" t="s">
        <v>36</v>
      </c>
      <c r="U107">
        <v>4.8</v>
      </c>
      <c r="V107" t="s">
        <v>38</v>
      </c>
      <c r="W107">
        <v>12</v>
      </c>
      <c r="X107" s="1" t="s">
        <v>49</v>
      </c>
    </row>
    <row r="108" spans="1:24" x14ac:dyDescent="0.55000000000000004">
      <c r="A108" s="1" t="s">
        <v>192</v>
      </c>
      <c r="B108" s="1" t="s">
        <v>62</v>
      </c>
      <c r="C108">
        <v>46</v>
      </c>
      <c r="D108" s="1" t="s">
        <v>42</v>
      </c>
      <c r="E108" s="1" t="s">
        <v>27</v>
      </c>
      <c r="F108" s="1" t="s">
        <v>28</v>
      </c>
      <c r="G108" s="1" t="s">
        <v>29</v>
      </c>
      <c r="H108" s="1" t="s">
        <v>65</v>
      </c>
      <c r="I108" s="1" t="s">
        <v>74</v>
      </c>
      <c r="J108" s="1" t="s">
        <v>32</v>
      </c>
      <c r="K108" s="1" t="s">
        <v>33</v>
      </c>
      <c r="L108" s="2">
        <v>46124</v>
      </c>
      <c r="M108" s="2">
        <v>46144</v>
      </c>
      <c r="N108">
        <v>1878816</v>
      </c>
      <c r="O108">
        <v>98019</v>
      </c>
      <c r="P108">
        <v>1780797</v>
      </c>
      <c r="Q108" s="1" t="s">
        <v>66</v>
      </c>
      <c r="R108" s="1" t="s">
        <v>79</v>
      </c>
      <c r="S108" s="1" t="s">
        <v>37</v>
      </c>
      <c r="T108" s="1" t="s">
        <v>36</v>
      </c>
      <c r="U108">
        <v>3.2</v>
      </c>
      <c r="V108" t="s">
        <v>56</v>
      </c>
      <c r="W108">
        <v>5</v>
      </c>
      <c r="X108" s="1" t="s">
        <v>86</v>
      </c>
    </row>
    <row r="109" spans="1:24" x14ac:dyDescent="0.55000000000000004">
      <c r="A109" s="1" t="s">
        <v>193</v>
      </c>
      <c r="B109" s="1" t="s">
        <v>105</v>
      </c>
      <c r="C109">
        <v>21</v>
      </c>
      <c r="D109" s="1" t="s">
        <v>26</v>
      </c>
      <c r="E109" s="1" t="s">
        <v>52</v>
      </c>
      <c r="F109" s="1" t="s">
        <v>44</v>
      </c>
      <c r="G109" s="1" t="s">
        <v>29</v>
      </c>
      <c r="H109" s="1" t="s">
        <v>65</v>
      </c>
      <c r="I109" s="1" t="s">
        <v>53</v>
      </c>
      <c r="J109" s="1" t="s">
        <v>32</v>
      </c>
      <c r="K109" s="1" t="s">
        <v>33</v>
      </c>
      <c r="L109" s="2">
        <v>46179</v>
      </c>
      <c r="M109" s="2">
        <v>46215</v>
      </c>
      <c r="N109">
        <v>1896395</v>
      </c>
      <c r="O109">
        <v>83378</v>
      </c>
      <c r="P109">
        <v>1813017</v>
      </c>
      <c r="Q109" s="1" t="s">
        <v>66</v>
      </c>
      <c r="R109" s="1" t="s">
        <v>109</v>
      </c>
      <c r="S109" s="1" t="s">
        <v>37</v>
      </c>
      <c r="T109" s="1" t="s">
        <v>37</v>
      </c>
      <c r="U109">
        <v>4.3</v>
      </c>
      <c r="V109" t="s">
        <v>38</v>
      </c>
      <c r="W109">
        <v>7</v>
      </c>
      <c r="X109" s="1" t="s">
        <v>39</v>
      </c>
    </row>
    <row r="110" spans="1:24" x14ac:dyDescent="0.55000000000000004">
      <c r="A110" s="1" t="s">
        <v>194</v>
      </c>
      <c r="B110" s="1" t="s">
        <v>83</v>
      </c>
      <c r="C110">
        <v>32</v>
      </c>
      <c r="D110" s="1" t="s">
        <v>42</v>
      </c>
      <c r="E110" s="1" t="s">
        <v>71</v>
      </c>
      <c r="F110" s="1" t="s">
        <v>72</v>
      </c>
      <c r="G110" s="1" t="s">
        <v>29</v>
      </c>
      <c r="H110" s="1" t="s">
        <v>77</v>
      </c>
      <c r="I110" s="1" t="s">
        <v>53</v>
      </c>
      <c r="J110" s="1" t="s">
        <v>54</v>
      </c>
      <c r="K110" s="1" t="s">
        <v>46</v>
      </c>
      <c r="L110" s="2">
        <v>46008</v>
      </c>
      <c r="M110" s="2">
        <v>46036</v>
      </c>
      <c r="N110">
        <v>1450387</v>
      </c>
      <c r="O110">
        <v>25676</v>
      </c>
      <c r="P110">
        <v>1424711</v>
      </c>
      <c r="Q110" s="1" t="s">
        <v>66</v>
      </c>
      <c r="R110" s="1" t="s">
        <v>35</v>
      </c>
      <c r="S110" s="1" t="s">
        <v>36</v>
      </c>
      <c r="T110" s="1" t="s">
        <v>36</v>
      </c>
      <c r="U110">
        <v>4</v>
      </c>
      <c r="V110" t="s">
        <v>38</v>
      </c>
      <c r="W110">
        <v>1</v>
      </c>
      <c r="X110" s="1" t="s">
        <v>88</v>
      </c>
    </row>
    <row r="111" spans="1:24" x14ac:dyDescent="0.55000000000000004">
      <c r="A111" s="1" t="s">
        <v>195</v>
      </c>
      <c r="B111" s="1" t="s">
        <v>62</v>
      </c>
      <c r="C111">
        <v>31</v>
      </c>
      <c r="D111" s="1" t="s">
        <v>26</v>
      </c>
      <c r="E111" s="1" t="s">
        <v>27</v>
      </c>
      <c r="F111" s="1" t="s">
        <v>28</v>
      </c>
      <c r="G111" s="1" t="s">
        <v>29</v>
      </c>
      <c r="H111" s="1" t="s">
        <v>30</v>
      </c>
      <c r="I111" s="1" t="s">
        <v>59</v>
      </c>
      <c r="J111" s="1" t="s">
        <v>54</v>
      </c>
      <c r="K111" s="1" t="s">
        <v>46</v>
      </c>
      <c r="L111" s="2">
        <v>45761</v>
      </c>
      <c r="M111" s="2">
        <v>45782</v>
      </c>
      <c r="N111">
        <v>1717543</v>
      </c>
      <c r="O111">
        <v>92478</v>
      </c>
      <c r="P111">
        <v>1625065</v>
      </c>
      <c r="Q111" s="1" t="s">
        <v>34</v>
      </c>
      <c r="R111" s="1" t="s">
        <v>109</v>
      </c>
      <c r="S111" s="1" t="s">
        <v>37</v>
      </c>
      <c r="T111" s="1" t="s">
        <v>37</v>
      </c>
      <c r="U111">
        <v>4.8</v>
      </c>
      <c r="V111" t="s">
        <v>38</v>
      </c>
      <c r="W111">
        <v>5</v>
      </c>
      <c r="X111" s="1" t="s">
        <v>86</v>
      </c>
    </row>
    <row r="112" spans="1:24" x14ac:dyDescent="0.55000000000000004">
      <c r="A112" s="1" t="s">
        <v>196</v>
      </c>
      <c r="B112" s="1" t="s">
        <v>93</v>
      </c>
      <c r="C112">
        <v>57</v>
      </c>
      <c r="D112" s="1" t="s">
        <v>26</v>
      </c>
      <c r="E112" s="1" t="s">
        <v>43</v>
      </c>
      <c r="F112" s="1" t="s">
        <v>44</v>
      </c>
      <c r="G112" s="1" t="s">
        <v>29</v>
      </c>
      <c r="H112" s="1" t="s">
        <v>30</v>
      </c>
      <c r="I112" s="1" t="s">
        <v>53</v>
      </c>
      <c r="J112" s="1" t="s">
        <v>32</v>
      </c>
      <c r="K112" s="1" t="s">
        <v>33</v>
      </c>
      <c r="L112" s="2">
        <v>45858</v>
      </c>
      <c r="M112" s="2">
        <v>45895</v>
      </c>
      <c r="N112">
        <v>1493797</v>
      </c>
      <c r="O112">
        <v>38228</v>
      </c>
      <c r="P112">
        <v>1455569</v>
      </c>
      <c r="Q112" s="1" t="s">
        <v>47</v>
      </c>
      <c r="R112" s="1" t="s">
        <v>79</v>
      </c>
      <c r="S112" s="1" t="s">
        <v>36</v>
      </c>
      <c r="T112" s="1" t="s">
        <v>36</v>
      </c>
      <c r="U112">
        <v>3.1</v>
      </c>
      <c r="V112" t="s">
        <v>38</v>
      </c>
      <c r="W112">
        <v>8</v>
      </c>
      <c r="X112" s="1" t="s">
        <v>57</v>
      </c>
    </row>
    <row r="113" spans="1:24" x14ac:dyDescent="0.55000000000000004">
      <c r="A113" s="1" t="s">
        <v>197</v>
      </c>
      <c r="B113" s="1" t="s">
        <v>93</v>
      </c>
      <c r="C113">
        <v>53</v>
      </c>
      <c r="D113" s="1" t="s">
        <v>42</v>
      </c>
      <c r="E113" s="1" t="s">
        <v>84</v>
      </c>
      <c r="F113" s="1" t="s">
        <v>85</v>
      </c>
      <c r="G113" s="1" t="s">
        <v>29</v>
      </c>
      <c r="H113" s="1" t="s">
        <v>77</v>
      </c>
      <c r="I113" s="1" t="s">
        <v>45</v>
      </c>
      <c r="J113" s="1" t="s">
        <v>54</v>
      </c>
      <c r="K113" s="1" t="s">
        <v>46</v>
      </c>
      <c r="L113" s="2">
        <v>45727</v>
      </c>
      <c r="M113" s="2">
        <v>45739</v>
      </c>
      <c r="N113">
        <v>1720007</v>
      </c>
      <c r="O113">
        <v>62897</v>
      </c>
      <c r="P113">
        <v>1657110</v>
      </c>
      <c r="Q113" s="1" t="s">
        <v>66</v>
      </c>
      <c r="R113" s="1" t="s">
        <v>79</v>
      </c>
      <c r="S113" s="1" t="s">
        <v>36</v>
      </c>
      <c r="T113" s="1" t="s">
        <v>36</v>
      </c>
      <c r="U113">
        <v>4.2</v>
      </c>
      <c r="V113" t="s">
        <v>56</v>
      </c>
      <c r="W113">
        <v>3</v>
      </c>
      <c r="X113" s="1" t="s">
        <v>96</v>
      </c>
    </row>
    <row r="114" spans="1:24" x14ac:dyDescent="0.55000000000000004">
      <c r="A114" s="1" t="s">
        <v>198</v>
      </c>
      <c r="B114" s="1" t="s">
        <v>93</v>
      </c>
      <c r="C114">
        <v>38</v>
      </c>
      <c r="D114" s="1" t="s">
        <v>26</v>
      </c>
      <c r="E114" s="1" t="s">
        <v>71</v>
      </c>
      <c r="F114" s="1" t="s">
        <v>72</v>
      </c>
      <c r="G114" s="1" t="s">
        <v>29</v>
      </c>
      <c r="H114" s="1" t="s">
        <v>30</v>
      </c>
      <c r="I114" s="1" t="s">
        <v>31</v>
      </c>
      <c r="J114" s="1" t="s">
        <v>32</v>
      </c>
      <c r="K114" s="1" t="s">
        <v>33</v>
      </c>
      <c r="L114" s="2">
        <v>45950</v>
      </c>
      <c r="M114" s="2">
        <v>45994</v>
      </c>
      <c r="N114">
        <v>1459304</v>
      </c>
      <c r="O114">
        <v>40767</v>
      </c>
      <c r="P114">
        <v>1418537</v>
      </c>
      <c r="Q114" s="1" t="s">
        <v>55</v>
      </c>
      <c r="R114" s="1" t="s">
        <v>79</v>
      </c>
      <c r="S114" s="1" t="s">
        <v>36</v>
      </c>
      <c r="T114" s="1" t="s">
        <v>37</v>
      </c>
      <c r="U114">
        <v>3.3</v>
      </c>
      <c r="V114" t="s">
        <v>38</v>
      </c>
      <c r="W114">
        <v>12</v>
      </c>
      <c r="X114" s="1" t="s">
        <v>49</v>
      </c>
    </row>
    <row r="115" spans="1:24" x14ac:dyDescent="0.55000000000000004">
      <c r="A115" s="1" t="s">
        <v>199</v>
      </c>
      <c r="B115" s="1" t="s">
        <v>41</v>
      </c>
      <c r="C115">
        <v>28</v>
      </c>
      <c r="D115" s="1" t="s">
        <v>42</v>
      </c>
      <c r="E115" s="1" t="s">
        <v>52</v>
      </c>
      <c r="F115" s="1" t="s">
        <v>44</v>
      </c>
      <c r="G115" s="1" t="s">
        <v>29</v>
      </c>
      <c r="H115" s="1" t="s">
        <v>77</v>
      </c>
      <c r="I115" s="1" t="s">
        <v>59</v>
      </c>
      <c r="J115" s="1" t="s">
        <v>54</v>
      </c>
      <c r="K115" s="1" t="s">
        <v>46</v>
      </c>
      <c r="L115" s="2">
        <v>45719</v>
      </c>
      <c r="M115" s="2">
        <v>45741</v>
      </c>
      <c r="N115">
        <v>1589025</v>
      </c>
      <c r="O115">
        <v>72192</v>
      </c>
      <c r="P115">
        <v>1516833</v>
      </c>
      <c r="Q115" s="1" t="s">
        <v>78</v>
      </c>
      <c r="R115" s="1" t="s">
        <v>79</v>
      </c>
      <c r="S115" s="1" t="s">
        <v>37</v>
      </c>
      <c r="T115" s="1" t="s">
        <v>36</v>
      </c>
      <c r="U115">
        <v>4.5</v>
      </c>
      <c r="V115" t="s">
        <v>38</v>
      </c>
      <c r="W115">
        <v>3</v>
      </c>
      <c r="X115" s="1" t="s">
        <v>96</v>
      </c>
    </row>
    <row r="116" spans="1:24" x14ac:dyDescent="0.55000000000000004">
      <c r="A116" s="1" t="s">
        <v>200</v>
      </c>
      <c r="B116" s="1" t="s">
        <v>51</v>
      </c>
      <c r="C116">
        <v>55</v>
      </c>
      <c r="D116" s="1" t="s">
        <v>26</v>
      </c>
      <c r="E116" s="1" t="s">
        <v>71</v>
      </c>
      <c r="F116" s="1" t="s">
        <v>72</v>
      </c>
      <c r="G116" s="1" t="s">
        <v>29</v>
      </c>
      <c r="H116" s="1" t="s">
        <v>30</v>
      </c>
      <c r="I116" s="1" t="s">
        <v>74</v>
      </c>
      <c r="J116" s="1" t="s">
        <v>54</v>
      </c>
      <c r="K116" s="1" t="s">
        <v>46</v>
      </c>
      <c r="L116" s="2">
        <v>45979</v>
      </c>
      <c r="M116" s="2">
        <v>46019</v>
      </c>
      <c r="N116">
        <v>1619579</v>
      </c>
      <c r="O116">
        <v>34014</v>
      </c>
      <c r="P116">
        <v>1585565</v>
      </c>
      <c r="Q116" s="1" t="s">
        <v>34</v>
      </c>
      <c r="R116" s="1" t="s">
        <v>79</v>
      </c>
      <c r="S116" s="1" t="s">
        <v>36</v>
      </c>
      <c r="T116" s="1" t="s">
        <v>36</v>
      </c>
      <c r="U116">
        <v>4.5999999999999996</v>
      </c>
      <c r="V116" t="s">
        <v>38</v>
      </c>
      <c r="W116">
        <v>12</v>
      </c>
      <c r="X116" s="1" t="s">
        <v>49</v>
      </c>
    </row>
    <row r="117" spans="1:24" x14ac:dyDescent="0.55000000000000004">
      <c r="A117" s="1" t="s">
        <v>201</v>
      </c>
      <c r="B117" s="1" t="s">
        <v>70</v>
      </c>
      <c r="C117">
        <v>26</v>
      </c>
      <c r="D117" s="1" t="s">
        <v>42</v>
      </c>
      <c r="E117" s="1" t="s">
        <v>71</v>
      </c>
      <c r="F117" s="1" t="s">
        <v>72</v>
      </c>
      <c r="G117" s="1" t="s">
        <v>29</v>
      </c>
      <c r="H117" s="1" t="s">
        <v>30</v>
      </c>
      <c r="I117" s="1" t="s">
        <v>59</v>
      </c>
      <c r="J117" s="1" t="s">
        <v>54</v>
      </c>
      <c r="K117" s="1" t="s">
        <v>33</v>
      </c>
      <c r="L117" s="2">
        <v>46125</v>
      </c>
      <c r="M117" s="2">
        <v>46156</v>
      </c>
      <c r="N117">
        <v>1787602</v>
      </c>
      <c r="O117">
        <v>75427</v>
      </c>
      <c r="P117">
        <v>1712175</v>
      </c>
      <c r="Q117" s="1" t="s">
        <v>47</v>
      </c>
      <c r="R117" s="1" t="s">
        <v>67</v>
      </c>
      <c r="S117" s="1" t="s">
        <v>36</v>
      </c>
      <c r="T117" s="1" t="s">
        <v>36</v>
      </c>
      <c r="U117">
        <v>3.3</v>
      </c>
      <c r="V117" t="s">
        <v>38</v>
      </c>
      <c r="W117">
        <v>5</v>
      </c>
      <c r="X117" s="1" t="s">
        <v>86</v>
      </c>
    </row>
    <row r="118" spans="1:24" x14ac:dyDescent="0.55000000000000004">
      <c r="A118" s="1" t="s">
        <v>202</v>
      </c>
      <c r="B118" s="1" t="s">
        <v>81</v>
      </c>
      <c r="C118">
        <v>27</v>
      </c>
      <c r="D118" s="1" t="s">
        <v>26</v>
      </c>
      <c r="E118" s="1" t="s">
        <v>43</v>
      </c>
      <c r="F118" s="1" t="s">
        <v>44</v>
      </c>
      <c r="G118" s="1" t="s">
        <v>29</v>
      </c>
      <c r="H118" s="1" t="s">
        <v>77</v>
      </c>
      <c r="I118" s="1" t="s">
        <v>74</v>
      </c>
      <c r="J118" s="1" t="s">
        <v>32</v>
      </c>
      <c r="K118" s="1" t="s">
        <v>33</v>
      </c>
      <c r="L118" s="2">
        <v>45794</v>
      </c>
      <c r="M118" s="2">
        <v>45802</v>
      </c>
      <c r="N118">
        <v>1605220</v>
      </c>
      <c r="O118">
        <v>93507</v>
      </c>
      <c r="P118">
        <v>1511713</v>
      </c>
      <c r="Q118" s="1" t="s">
        <v>34</v>
      </c>
      <c r="R118" s="1" t="s">
        <v>109</v>
      </c>
      <c r="S118" s="1" t="s">
        <v>36</v>
      </c>
      <c r="T118" s="1" t="s">
        <v>37</v>
      </c>
      <c r="U118">
        <v>3.3</v>
      </c>
      <c r="V118" t="s">
        <v>91</v>
      </c>
      <c r="W118">
        <v>5</v>
      </c>
      <c r="X118" s="1" t="s">
        <v>86</v>
      </c>
    </row>
    <row r="119" spans="1:24" x14ac:dyDescent="0.55000000000000004">
      <c r="A119" s="1" t="s">
        <v>203</v>
      </c>
      <c r="B119" s="1" t="s">
        <v>62</v>
      </c>
      <c r="C119">
        <v>23</v>
      </c>
      <c r="D119" s="1" t="s">
        <v>26</v>
      </c>
      <c r="E119" s="1" t="s">
        <v>90</v>
      </c>
      <c r="F119" s="1" t="s">
        <v>44</v>
      </c>
      <c r="G119" s="1" t="s">
        <v>29</v>
      </c>
      <c r="H119" s="1" t="s">
        <v>30</v>
      </c>
      <c r="I119" s="1" t="s">
        <v>74</v>
      </c>
      <c r="J119" s="1" t="s">
        <v>32</v>
      </c>
      <c r="K119" s="1" t="s">
        <v>46</v>
      </c>
      <c r="L119" s="2">
        <v>45897</v>
      </c>
      <c r="M119" s="2">
        <v>45937</v>
      </c>
      <c r="N119">
        <v>1662738</v>
      </c>
      <c r="O119">
        <v>55051</v>
      </c>
      <c r="P119">
        <v>1607687</v>
      </c>
      <c r="Q119" s="1" t="s">
        <v>34</v>
      </c>
      <c r="R119" s="1" t="s">
        <v>79</v>
      </c>
      <c r="S119" s="1" t="s">
        <v>37</v>
      </c>
      <c r="T119" s="1" t="s">
        <v>37</v>
      </c>
      <c r="U119">
        <v>3.8</v>
      </c>
      <c r="V119" t="s">
        <v>38</v>
      </c>
      <c r="W119">
        <v>10</v>
      </c>
      <c r="X119" s="1" t="s">
        <v>75</v>
      </c>
    </row>
    <row r="120" spans="1:24" x14ac:dyDescent="0.55000000000000004">
      <c r="A120" s="1" t="s">
        <v>204</v>
      </c>
      <c r="B120" s="1" t="s">
        <v>81</v>
      </c>
      <c r="C120">
        <v>37</v>
      </c>
      <c r="D120" s="1" t="s">
        <v>26</v>
      </c>
      <c r="E120" s="1" t="s">
        <v>84</v>
      </c>
      <c r="F120" s="1" t="s">
        <v>85</v>
      </c>
      <c r="G120" s="1" t="s">
        <v>29</v>
      </c>
      <c r="H120" s="1" t="s">
        <v>30</v>
      </c>
      <c r="I120" s="1" t="s">
        <v>53</v>
      </c>
      <c r="J120" s="1" t="s">
        <v>32</v>
      </c>
      <c r="K120" s="1" t="s">
        <v>46</v>
      </c>
      <c r="L120" s="2">
        <v>45860</v>
      </c>
      <c r="M120" s="2">
        <v>45890</v>
      </c>
      <c r="N120">
        <v>1640554</v>
      </c>
      <c r="O120">
        <v>35466</v>
      </c>
      <c r="P120">
        <v>1605088</v>
      </c>
      <c r="Q120" s="1" t="s">
        <v>34</v>
      </c>
      <c r="R120" s="1" t="s">
        <v>35</v>
      </c>
      <c r="S120" s="1" t="s">
        <v>36</v>
      </c>
      <c r="T120" s="1" t="s">
        <v>36</v>
      </c>
      <c r="U120">
        <v>4.9000000000000004</v>
      </c>
      <c r="V120" t="s">
        <v>38</v>
      </c>
      <c r="W120">
        <v>8</v>
      </c>
      <c r="X120" s="1" t="s">
        <v>57</v>
      </c>
    </row>
    <row r="121" spans="1:24" x14ac:dyDescent="0.55000000000000004">
      <c r="A121" s="1" t="s">
        <v>205</v>
      </c>
      <c r="B121" s="1" t="s">
        <v>62</v>
      </c>
      <c r="C121">
        <v>21</v>
      </c>
      <c r="D121" s="1" t="s">
        <v>26</v>
      </c>
      <c r="E121" s="1" t="s">
        <v>71</v>
      </c>
      <c r="F121" s="1" t="s">
        <v>72</v>
      </c>
      <c r="G121" s="1" t="s">
        <v>29</v>
      </c>
      <c r="H121" s="1" t="s">
        <v>30</v>
      </c>
      <c r="I121" s="1" t="s">
        <v>53</v>
      </c>
      <c r="J121" s="1" t="s">
        <v>32</v>
      </c>
      <c r="K121" s="1" t="s">
        <v>33</v>
      </c>
      <c r="L121" s="2">
        <v>46063</v>
      </c>
      <c r="M121" s="2">
        <v>46071</v>
      </c>
      <c r="N121">
        <v>1508434</v>
      </c>
      <c r="O121">
        <v>23917</v>
      </c>
      <c r="P121">
        <v>1484517</v>
      </c>
      <c r="Q121" s="1" t="s">
        <v>78</v>
      </c>
      <c r="R121" s="1" t="s">
        <v>109</v>
      </c>
      <c r="S121" s="1" t="s">
        <v>36</v>
      </c>
      <c r="T121" s="1" t="s">
        <v>37</v>
      </c>
      <c r="U121">
        <v>3.1</v>
      </c>
      <c r="V121" t="s">
        <v>91</v>
      </c>
      <c r="W121">
        <v>2</v>
      </c>
      <c r="X121" s="1" t="s">
        <v>107</v>
      </c>
    </row>
    <row r="122" spans="1:24" x14ac:dyDescent="0.55000000000000004">
      <c r="A122" s="1" t="s">
        <v>206</v>
      </c>
      <c r="B122" s="1" t="s">
        <v>62</v>
      </c>
      <c r="C122">
        <v>56</v>
      </c>
      <c r="D122" s="1" t="s">
        <v>26</v>
      </c>
      <c r="E122" s="1" t="s">
        <v>43</v>
      </c>
      <c r="F122" s="1" t="s">
        <v>44</v>
      </c>
      <c r="G122" s="1" t="s">
        <v>29</v>
      </c>
      <c r="H122" s="1" t="s">
        <v>30</v>
      </c>
      <c r="I122" s="1" t="s">
        <v>53</v>
      </c>
      <c r="J122" s="1" t="s">
        <v>32</v>
      </c>
      <c r="K122" s="1" t="s">
        <v>46</v>
      </c>
      <c r="L122" s="2">
        <v>45889</v>
      </c>
      <c r="M122" s="2">
        <v>45926</v>
      </c>
      <c r="N122">
        <v>1639620</v>
      </c>
      <c r="O122">
        <v>99516</v>
      </c>
      <c r="P122">
        <v>1540104</v>
      </c>
      <c r="Q122" s="1" t="s">
        <v>55</v>
      </c>
      <c r="R122" s="1" t="s">
        <v>79</v>
      </c>
      <c r="S122" s="1" t="s">
        <v>37</v>
      </c>
      <c r="T122" s="1" t="s">
        <v>36</v>
      </c>
      <c r="U122">
        <v>3.1</v>
      </c>
      <c r="V122" t="s">
        <v>38</v>
      </c>
      <c r="W122">
        <v>9</v>
      </c>
      <c r="X122" s="1" t="s">
        <v>103</v>
      </c>
    </row>
    <row r="123" spans="1:24" x14ac:dyDescent="0.55000000000000004">
      <c r="A123" s="1" t="s">
        <v>207</v>
      </c>
      <c r="B123" s="1" t="s">
        <v>105</v>
      </c>
      <c r="C123">
        <v>48</v>
      </c>
      <c r="D123" s="1" t="s">
        <v>26</v>
      </c>
      <c r="E123" s="1" t="s">
        <v>71</v>
      </c>
      <c r="F123" s="1" t="s">
        <v>72</v>
      </c>
      <c r="G123" s="1" t="s">
        <v>29</v>
      </c>
      <c r="H123" s="1" t="s">
        <v>65</v>
      </c>
      <c r="I123" s="1" t="s">
        <v>53</v>
      </c>
      <c r="J123" s="1" t="s">
        <v>32</v>
      </c>
      <c r="K123" s="1" t="s">
        <v>46</v>
      </c>
      <c r="L123" s="2">
        <v>46085</v>
      </c>
      <c r="M123" s="2">
        <v>46100</v>
      </c>
      <c r="N123">
        <v>1737963</v>
      </c>
      <c r="O123">
        <v>28470</v>
      </c>
      <c r="P123">
        <v>1709493</v>
      </c>
      <c r="Q123" s="1" t="s">
        <v>66</v>
      </c>
      <c r="R123" s="1" t="s">
        <v>67</v>
      </c>
      <c r="S123" s="1" t="s">
        <v>36</v>
      </c>
      <c r="T123" s="1" t="s">
        <v>37</v>
      </c>
      <c r="U123">
        <v>3.1</v>
      </c>
      <c r="V123" t="s">
        <v>56</v>
      </c>
      <c r="W123">
        <v>3</v>
      </c>
      <c r="X123" s="1" t="s">
        <v>96</v>
      </c>
    </row>
    <row r="124" spans="1:24" x14ac:dyDescent="0.55000000000000004">
      <c r="A124" s="1" t="s">
        <v>208</v>
      </c>
      <c r="B124" s="1" t="s">
        <v>93</v>
      </c>
      <c r="C124">
        <v>25</v>
      </c>
      <c r="D124" s="1" t="s">
        <v>42</v>
      </c>
      <c r="E124" s="1" t="s">
        <v>43</v>
      </c>
      <c r="F124" s="1" t="s">
        <v>44</v>
      </c>
      <c r="G124" s="1" t="s">
        <v>29</v>
      </c>
      <c r="H124" s="1" t="s">
        <v>30</v>
      </c>
      <c r="I124" s="1" t="s">
        <v>74</v>
      </c>
      <c r="J124" s="1" t="s">
        <v>32</v>
      </c>
      <c r="K124" s="1" t="s">
        <v>33</v>
      </c>
      <c r="L124" s="2">
        <v>45724</v>
      </c>
      <c r="M124" s="2">
        <v>45743</v>
      </c>
      <c r="N124">
        <v>1683646</v>
      </c>
      <c r="O124">
        <v>52154</v>
      </c>
      <c r="P124">
        <v>1631492</v>
      </c>
      <c r="Q124" s="1" t="s">
        <v>34</v>
      </c>
      <c r="R124" s="1" t="s">
        <v>48</v>
      </c>
      <c r="S124" s="1" t="s">
        <v>36</v>
      </c>
      <c r="T124" s="1" t="s">
        <v>37</v>
      </c>
      <c r="U124">
        <v>3.3</v>
      </c>
      <c r="V124" t="s">
        <v>56</v>
      </c>
      <c r="W124">
        <v>3</v>
      </c>
      <c r="X124" s="1" t="s">
        <v>96</v>
      </c>
    </row>
    <row r="125" spans="1:24" x14ac:dyDescent="0.55000000000000004">
      <c r="A125" s="1" t="s">
        <v>209</v>
      </c>
      <c r="B125" s="1" t="s">
        <v>70</v>
      </c>
      <c r="C125">
        <v>47</v>
      </c>
      <c r="D125" s="1" t="s">
        <v>42</v>
      </c>
      <c r="E125" s="1" t="s">
        <v>27</v>
      </c>
      <c r="F125" s="1" t="s">
        <v>28</v>
      </c>
      <c r="G125" s="1" t="s">
        <v>29</v>
      </c>
      <c r="H125" s="1" t="s">
        <v>65</v>
      </c>
      <c r="I125" s="1" t="s">
        <v>53</v>
      </c>
      <c r="J125" s="1" t="s">
        <v>54</v>
      </c>
      <c r="K125" s="1" t="s">
        <v>46</v>
      </c>
      <c r="L125" s="2">
        <v>46059</v>
      </c>
      <c r="M125" s="2">
        <v>46080</v>
      </c>
      <c r="N125">
        <v>1540720</v>
      </c>
      <c r="O125">
        <v>28190</v>
      </c>
      <c r="P125">
        <v>1512530</v>
      </c>
      <c r="Q125" s="1" t="s">
        <v>47</v>
      </c>
      <c r="R125" s="1" t="s">
        <v>79</v>
      </c>
      <c r="S125" s="1" t="s">
        <v>36</v>
      </c>
      <c r="T125" s="1" t="s">
        <v>36</v>
      </c>
      <c r="U125">
        <v>3.2</v>
      </c>
      <c r="V125" t="s">
        <v>38</v>
      </c>
      <c r="W125">
        <v>2</v>
      </c>
      <c r="X125" s="1" t="s">
        <v>107</v>
      </c>
    </row>
    <row r="126" spans="1:24" x14ac:dyDescent="0.55000000000000004">
      <c r="A126" s="1" t="s">
        <v>210</v>
      </c>
      <c r="B126" s="1" t="s">
        <v>41</v>
      </c>
      <c r="C126">
        <v>52</v>
      </c>
      <c r="D126" s="1" t="s">
        <v>42</v>
      </c>
      <c r="E126" s="1" t="s">
        <v>84</v>
      </c>
      <c r="F126" s="1" t="s">
        <v>85</v>
      </c>
      <c r="G126" s="1" t="s">
        <v>29</v>
      </c>
      <c r="H126" s="1" t="s">
        <v>65</v>
      </c>
      <c r="I126" s="1" t="s">
        <v>59</v>
      </c>
      <c r="J126" s="1" t="s">
        <v>54</v>
      </c>
      <c r="K126" s="1" t="s">
        <v>46</v>
      </c>
      <c r="L126" s="2">
        <v>45661</v>
      </c>
      <c r="M126" s="2">
        <v>45682</v>
      </c>
      <c r="N126">
        <v>1792264</v>
      </c>
      <c r="O126">
        <v>15702</v>
      </c>
      <c r="P126">
        <v>1776562</v>
      </c>
      <c r="Q126" s="1" t="s">
        <v>47</v>
      </c>
      <c r="R126" s="1" t="s">
        <v>48</v>
      </c>
      <c r="S126" s="1" t="s">
        <v>36</v>
      </c>
      <c r="T126" s="1" t="s">
        <v>37</v>
      </c>
      <c r="U126">
        <v>3.4</v>
      </c>
      <c r="V126" t="s">
        <v>38</v>
      </c>
      <c r="W126">
        <v>1</v>
      </c>
      <c r="X126" s="1" t="s">
        <v>88</v>
      </c>
    </row>
    <row r="127" spans="1:24" x14ac:dyDescent="0.55000000000000004">
      <c r="A127" s="1" t="s">
        <v>211</v>
      </c>
      <c r="B127" s="1" t="s">
        <v>93</v>
      </c>
      <c r="C127">
        <v>47</v>
      </c>
      <c r="D127" s="1" t="s">
        <v>26</v>
      </c>
      <c r="E127" s="1" t="s">
        <v>71</v>
      </c>
      <c r="F127" s="1" t="s">
        <v>72</v>
      </c>
      <c r="G127" s="1" t="s">
        <v>29</v>
      </c>
      <c r="H127" s="1" t="s">
        <v>77</v>
      </c>
      <c r="I127" s="1" t="s">
        <v>53</v>
      </c>
      <c r="J127" s="1" t="s">
        <v>54</v>
      </c>
      <c r="K127" s="1" t="s">
        <v>46</v>
      </c>
      <c r="L127" s="2">
        <v>45689</v>
      </c>
      <c r="M127" s="2">
        <v>45714</v>
      </c>
      <c r="N127">
        <v>1880566</v>
      </c>
      <c r="O127">
        <v>56758</v>
      </c>
      <c r="P127">
        <v>1823808</v>
      </c>
      <c r="Q127" s="1" t="s">
        <v>55</v>
      </c>
      <c r="R127" s="1" t="s">
        <v>79</v>
      </c>
      <c r="S127" s="1" t="s">
        <v>37</v>
      </c>
      <c r="T127" s="1" t="s">
        <v>36</v>
      </c>
      <c r="U127">
        <v>3.4</v>
      </c>
      <c r="V127" t="s">
        <v>38</v>
      </c>
      <c r="W127">
        <v>2</v>
      </c>
      <c r="X127" s="1" t="s">
        <v>107</v>
      </c>
    </row>
    <row r="128" spans="1:24" x14ac:dyDescent="0.55000000000000004">
      <c r="A128" s="1" t="s">
        <v>212</v>
      </c>
      <c r="B128" s="1" t="s">
        <v>51</v>
      </c>
      <c r="C128">
        <v>54</v>
      </c>
      <c r="D128" s="1" t="s">
        <v>42</v>
      </c>
      <c r="E128" s="1" t="s">
        <v>90</v>
      </c>
      <c r="F128" s="1" t="s">
        <v>44</v>
      </c>
      <c r="G128" s="1" t="s">
        <v>29</v>
      </c>
      <c r="H128" s="1" t="s">
        <v>30</v>
      </c>
      <c r="I128" s="1" t="s">
        <v>74</v>
      </c>
      <c r="J128" s="1" t="s">
        <v>54</v>
      </c>
      <c r="K128" s="1" t="s">
        <v>33</v>
      </c>
      <c r="L128" s="2">
        <v>45865</v>
      </c>
      <c r="M128" s="2">
        <v>45872</v>
      </c>
      <c r="N128">
        <v>1324079</v>
      </c>
      <c r="O128">
        <v>41459</v>
      </c>
      <c r="P128">
        <v>1282620</v>
      </c>
      <c r="Q128" s="1" t="s">
        <v>47</v>
      </c>
      <c r="R128" s="1" t="s">
        <v>35</v>
      </c>
      <c r="S128" s="1" t="s">
        <v>36</v>
      </c>
      <c r="T128" s="1" t="s">
        <v>36</v>
      </c>
      <c r="U128">
        <v>3.7</v>
      </c>
      <c r="V128" t="s">
        <v>91</v>
      </c>
      <c r="W128">
        <v>8</v>
      </c>
      <c r="X128" s="1" t="s">
        <v>57</v>
      </c>
    </row>
    <row r="129" spans="1:24" x14ac:dyDescent="0.55000000000000004">
      <c r="A129" s="1" t="s">
        <v>213</v>
      </c>
      <c r="B129" s="1" t="s">
        <v>105</v>
      </c>
      <c r="C129">
        <v>51</v>
      </c>
      <c r="D129" s="1" t="s">
        <v>42</v>
      </c>
      <c r="E129" s="1" t="s">
        <v>43</v>
      </c>
      <c r="F129" s="1" t="s">
        <v>44</v>
      </c>
      <c r="G129" s="1" t="s">
        <v>29</v>
      </c>
      <c r="H129" s="1" t="s">
        <v>65</v>
      </c>
      <c r="I129" s="1" t="s">
        <v>53</v>
      </c>
      <c r="J129" s="1" t="s">
        <v>32</v>
      </c>
      <c r="K129" s="1" t="s">
        <v>46</v>
      </c>
      <c r="L129" s="2">
        <v>46046</v>
      </c>
      <c r="M129" s="2">
        <v>46082</v>
      </c>
      <c r="N129">
        <v>1608227</v>
      </c>
      <c r="O129">
        <v>31101</v>
      </c>
      <c r="P129">
        <v>1577126</v>
      </c>
      <c r="Q129" s="1" t="s">
        <v>55</v>
      </c>
      <c r="R129" s="1" t="s">
        <v>79</v>
      </c>
      <c r="S129" s="1" t="s">
        <v>37</v>
      </c>
      <c r="T129" s="1" t="s">
        <v>36</v>
      </c>
      <c r="U129">
        <v>4.7</v>
      </c>
      <c r="V129" t="s">
        <v>38</v>
      </c>
      <c r="W129">
        <v>3</v>
      </c>
      <c r="X129" s="1" t="s">
        <v>96</v>
      </c>
    </row>
    <row r="130" spans="1:24" x14ac:dyDescent="0.55000000000000004">
      <c r="A130" s="1" t="s">
        <v>214</v>
      </c>
      <c r="B130" s="1" t="s">
        <v>41</v>
      </c>
      <c r="C130">
        <v>39</v>
      </c>
      <c r="D130" s="1" t="s">
        <v>26</v>
      </c>
      <c r="E130" s="1" t="s">
        <v>52</v>
      </c>
      <c r="F130" s="1" t="s">
        <v>44</v>
      </c>
      <c r="G130" s="1" t="s">
        <v>29</v>
      </c>
      <c r="H130" s="1" t="s">
        <v>65</v>
      </c>
      <c r="I130" s="1" t="s">
        <v>45</v>
      </c>
      <c r="J130" s="1" t="s">
        <v>32</v>
      </c>
      <c r="K130" s="1" t="s">
        <v>46</v>
      </c>
      <c r="L130" s="2">
        <v>45687</v>
      </c>
      <c r="M130" s="2">
        <v>45695</v>
      </c>
      <c r="N130">
        <v>1800986</v>
      </c>
      <c r="O130">
        <v>18696</v>
      </c>
      <c r="P130">
        <v>1782290</v>
      </c>
      <c r="Q130" s="1" t="s">
        <v>47</v>
      </c>
      <c r="R130" s="1" t="s">
        <v>67</v>
      </c>
      <c r="S130" s="1" t="s">
        <v>36</v>
      </c>
      <c r="T130" s="1" t="s">
        <v>37</v>
      </c>
      <c r="U130">
        <v>3.9</v>
      </c>
      <c r="V130" t="s">
        <v>91</v>
      </c>
      <c r="W130">
        <v>2</v>
      </c>
      <c r="X130" s="1" t="s">
        <v>107</v>
      </c>
    </row>
    <row r="131" spans="1:24" x14ac:dyDescent="0.55000000000000004">
      <c r="A131" s="1" t="s">
        <v>215</v>
      </c>
      <c r="B131" s="1" t="s">
        <v>93</v>
      </c>
      <c r="C131">
        <v>23</v>
      </c>
      <c r="D131" s="1" t="s">
        <v>26</v>
      </c>
      <c r="E131" s="1" t="s">
        <v>52</v>
      </c>
      <c r="F131" s="1" t="s">
        <v>44</v>
      </c>
      <c r="G131" s="1" t="s">
        <v>29</v>
      </c>
      <c r="H131" s="1" t="s">
        <v>77</v>
      </c>
      <c r="I131" s="1" t="s">
        <v>74</v>
      </c>
      <c r="J131" s="1" t="s">
        <v>54</v>
      </c>
      <c r="K131" s="1" t="s">
        <v>46</v>
      </c>
      <c r="L131" s="2">
        <v>46145</v>
      </c>
      <c r="M131" s="2">
        <v>46181</v>
      </c>
      <c r="N131">
        <v>1337545</v>
      </c>
      <c r="O131">
        <v>42504</v>
      </c>
      <c r="P131">
        <v>1295041</v>
      </c>
      <c r="Q131" s="1" t="s">
        <v>66</v>
      </c>
      <c r="R131" s="1" t="s">
        <v>79</v>
      </c>
      <c r="S131" s="1" t="s">
        <v>37</v>
      </c>
      <c r="T131" s="1" t="s">
        <v>37</v>
      </c>
      <c r="U131">
        <v>4.5999999999999996</v>
      </c>
      <c r="V131" t="s">
        <v>38</v>
      </c>
      <c r="W131">
        <v>6</v>
      </c>
      <c r="X131" s="1" t="s">
        <v>68</v>
      </c>
    </row>
    <row r="132" spans="1:24" x14ac:dyDescent="0.55000000000000004">
      <c r="A132" s="1" t="s">
        <v>216</v>
      </c>
      <c r="B132" s="1" t="s">
        <v>70</v>
      </c>
      <c r="C132">
        <v>53</v>
      </c>
      <c r="D132" s="1" t="s">
        <v>42</v>
      </c>
      <c r="E132" s="1" t="s">
        <v>43</v>
      </c>
      <c r="F132" s="1" t="s">
        <v>44</v>
      </c>
      <c r="G132" s="1" t="s">
        <v>29</v>
      </c>
      <c r="H132" s="1" t="s">
        <v>30</v>
      </c>
      <c r="I132" s="1" t="s">
        <v>31</v>
      </c>
      <c r="J132" s="1" t="s">
        <v>32</v>
      </c>
      <c r="K132" s="1" t="s">
        <v>46</v>
      </c>
      <c r="L132" s="2">
        <v>45778</v>
      </c>
      <c r="M132" s="2">
        <v>45810</v>
      </c>
      <c r="N132">
        <v>1719910</v>
      </c>
      <c r="O132">
        <v>19179</v>
      </c>
      <c r="P132">
        <v>1700731</v>
      </c>
      <c r="Q132" s="1" t="s">
        <v>47</v>
      </c>
      <c r="R132" s="1" t="s">
        <v>109</v>
      </c>
      <c r="S132" s="1" t="s">
        <v>36</v>
      </c>
      <c r="T132" s="1" t="s">
        <v>37</v>
      </c>
      <c r="U132">
        <v>4.7</v>
      </c>
      <c r="V132" t="s">
        <v>38</v>
      </c>
      <c r="W132">
        <v>6</v>
      </c>
      <c r="X132" s="1" t="s">
        <v>68</v>
      </c>
    </row>
    <row r="133" spans="1:24" x14ac:dyDescent="0.55000000000000004">
      <c r="A133" s="1" t="s">
        <v>217</v>
      </c>
      <c r="B133" s="1" t="s">
        <v>41</v>
      </c>
      <c r="C133">
        <v>54</v>
      </c>
      <c r="D133" s="1" t="s">
        <v>42</v>
      </c>
      <c r="E133" s="1" t="s">
        <v>52</v>
      </c>
      <c r="F133" s="1" t="s">
        <v>44</v>
      </c>
      <c r="G133" s="1" t="s">
        <v>29</v>
      </c>
      <c r="H133" s="1" t="s">
        <v>30</v>
      </c>
      <c r="I133" s="1" t="s">
        <v>45</v>
      </c>
      <c r="J133" s="1" t="s">
        <v>54</v>
      </c>
      <c r="K133" s="1" t="s">
        <v>46</v>
      </c>
      <c r="L133" s="2">
        <v>45871</v>
      </c>
      <c r="M133" s="2">
        <v>45905</v>
      </c>
      <c r="N133">
        <v>1365920</v>
      </c>
      <c r="O133">
        <v>80012</v>
      </c>
      <c r="P133">
        <v>1285908</v>
      </c>
      <c r="Q133" s="1" t="s">
        <v>47</v>
      </c>
      <c r="R133" s="1" t="s">
        <v>109</v>
      </c>
      <c r="S133" s="1" t="s">
        <v>37</v>
      </c>
      <c r="T133" s="1" t="s">
        <v>36</v>
      </c>
      <c r="U133">
        <v>3.7</v>
      </c>
      <c r="V133" t="s">
        <v>38</v>
      </c>
      <c r="W133">
        <v>9</v>
      </c>
      <c r="X133" s="1" t="s">
        <v>103</v>
      </c>
    </row>
    <row r="134" spans="1:24" x14ac:dyDescent="0.55000000000000004">
      <c r="A134" s="1" t="s">
        <v>218</v>
      </c>
      <c r="B134" s="1" t="s">
        <v>81</v>
      </c>
      <c r="C134">
        <v>23</v>
      </c>
      <c r="D134" s="1" t="s">
        <v>26</v>
      </c>
      <c r="E134" s="1" t="s">
        <v>43</v>
      </c>
      <c r="F134" s="1" t="s">
        <v>44</v>
      </c>
      <c r="G134" s="1" t="s">
        <v>29</v>
      </c>
      <c r="H134" s="1" t="s">
        <v>30</v>
      </c>
      <c r="I134" s="1" t="s">
        <v>45</v>
      </c>
      <c r="J134" s="1" t="s">
        <v>32</v>
      </c>
      <c r="K134" s="1" t="s">
        <v>46</v>
      </c>
      <c r="L134" s="2">
        <v>46006</v>
      </c>
      <c r="M134" s="2">
        <v>46038</v>
      </c>
      <c r="N134">
        <v>1836158</v>
      </c>
      <c r="O134">
        <v>41648</v>
      </c>
      <c r="P134">
        <v>1794510</v>
      </c>
      <c r="Q134" s="1" t="s">
        <v>78</v>
      </c>
      <c r="R134" s="1" t="s">
        <v>67</v>
      </c>
      <c r="S134" s="1" t="s">
        <v>36</v>
      </c>
      <c r="T134" s="1" t="s">
        <v>36</v>
      </c>
      <c r="U134">
        <v>4.4000000000000004</v>
      </c>
      <c r="V134" t="s">
        <v>38</v>
      </c>
      <c r="W134">
        <v>1</v>
      </c>
      <c r="X134" s="1" t="s">
        <v>88</v>
      </c>
    </row>
    <row r="135" spans="1:24" x14ac:dyDescent="0.55000000000000004">
      <c r="A135" s="1" t="s">
        <v>219</v>
      </c>
      <c r="B135" s="1" t="s">
        <v>81</v>
      </c>
      <c r="C135">
        <v>54</v>
      </c>
      <c r="D135" s="1" t="s">
        <v>42</v>
      </c>
      <c r="E135" s="1" t="s">
        <v>43</v>
      </c>
      <c r="F135" s="1" t="s">
        <v>44</v>
      </c>
      <c r="G135" s="1" t="s">
        <v>29</v>
      </c>
      <c r="H135" s="1" t="s">
        <v>65</v>
      </c>
      <c r="I135" s="1" t="s">
        <v>53</v>
      </c>
      <c r="J135" s="1" t="s">
        <v>54</v>
      </c>
      <c r="K135" s="1" t="s">
        <v>33</v>
      </c>
      <c r="L135" s="2">
        <v>46180</v>
      </c>
      <c r="M135" s="2">
        <v>46202</v>
      </c>
      <c r="N135">
        <v>1605189</v>
      </c>
      <c r="O135">
        <v>68130</v>
      </c>
      <c r="P135">
        <v>1537059</v>
      </c>
      <c r="Q135" s="1" t="s">
        <v>47</v>
      </c>
      <c r="R135" s="1" t="s">
        <v>109</v>
      </c>
      <c r="S135" s="1" t="s">
        <v>37</v>
      </c>
      <c r="T135" s="1" t="s">
        <v>36</v>
      </c>
      <c r="U135">
        <v>4.0999999999999996</v>
      </c>
      <c r="V135" t="s">
        <v>38</v>
      </c>
      <c r="W135">
        <v>6</v>
      </c>
      <c r="X135" s="1" t="s">
        <v>68</v>
      </c>
    </row>
    <row r="136" spans="1:24" x14ac:dyDescent="0.55000000000000004">
      <c r="A136" s="1" t="s">
        <v>220</v>
      </c>
      <c r="B136" s="1" t="s">
        <v>25</v>
      </c>
      <c r="C136">
        <v>44</v>
      </c>
      <c r="D136" s="1" t="s">
        <v>26</v>
      </c>
      <c r="E136" s="1" t="s">
        <v>27</v>
      </c>
      <c r="F136" s="1" t="s">
        <v>28</v>
      </c>
      <c r="G136" s="1" t="s">
        <v>29</v>
      </c>
      <c r="H136" s="1" t="s">
        <v>65</v>
      </c>
      <c r="I136" s="1" t="s">
        <v>31</v>
      </c>
      <c r="J136" s="1" t="s">
        <v>54</v>
      </c>
      <c r="K136" s="1" t="s">
        <v>33</v>
      </c>
      <c r="L136" s="2">
        <v>45893</v>
      </c>
      <c r="M136" s="2">
        <v>45911</v>
      </c>
      <c r="N136">
        <v>1839370</v>
      </c>
      <c r="O136">
        <v>42314</v>
      </c>
      <c r="P136">
        <v>1797056</v>
      </c>
      <c r="Q136" s="1" t="s">
        <v>34</v>
      </c>
      <c r="R136" s="1" t="s">
        <v>67</v>
      </c>
      <c r="S136" s="1" t="s">
        <v>36</v>
      </c>
      <c r="T136" s="1" t="s">
        <v>36</v>
      </c>
      <c r="U136">
        <v>3.9</v>
      </c>
      <c r="V136" t="s">
        <v>56</v>
      </c>
      <c r="W136">
        <v>9</v>
      </c>
      <c r="X136" s="1" t="s">
        <v>103</v>
      </c>
    </row>
    <row r="137" spans="1:24" x14ac:dyDescent="0.55000000000000004">
      <c r="A137" s="1" t="s">
        <v>221</v>
      </c>
      <c r="B137" s="1" t="s">
        <v>93</v>
      </c>
      <c r="C137">
        <v>46</v>
      </c>
      <c r="D137" s="1" t="s">
        <v>26</v>
      </c>
      <c r="E137" s="1" t="s">
        <v>52</v>
      </c>
      <c r="F137" s="1" t="s">
        <v>44</v>
      </c>
      <c r="G137" s="1" t="s">
        <v>29</v>
      </c>
      <c r="H137" s="1" t="s">
        <v>30</v>
      </c>
      <c r="I137" s="1" t="s">
        <v>59</v>
      </c>
      <c r="J137" s="1" t="s">
        <v>32</v>
      </c>
      <c r="K137" s="1" t="s">
        <v>33</v>
      </c>
      <c r="L137" s="2">
        <v>45664</v>
      </c>
      <c r="M137" s="2">
        <v>45708</v>
      </c>
      <c r="N137">
        <v>1592780</v>
      </c>
      <c r="O137">
        <v>33792</v>
      </c>
      <c r="P137">
        <v>1558988</v>
      </c>
      <c r="Q137" s="1" t="s">
        <v>55</v>
      </c>
      <c r="R137" s="1" t="s">
        <v>79</v>
      </c>
      <c r="S137" s="1" t="s">
        <v>37</v>
      </c>
      <c r="T137" s="1" t="s">
        <v>36</v>
      </c>
      <c r="U137">
        <v>3.7</v>
      </c>
      <c r="V137" t="s">
        <v>38</v>
      </c>
      <c r="W137">
        <v>2</v>
      </c>
      <c r="X137" s="1" t="s">
        <v>107</v>
      </c>
    </row>
    <row r="138" spans="1:24" x14ac:dyDescent="0.55000000000000004">
      <c r="A138" s="1" t="s">
        <v>222</v>
      </c>
      <c r="B138" s="1" t="s">
        <v>83</v>
      </c>
      <c r="C138">
        <v>38</v>
      </c>
      <c r="D138" s="1" t="s">
        <v>42</v>
      </c>
      <c r="E138" s="1" t="s">
        <v>52</v>
      </c>
      <c r="F138" s="1" t="s">
        <v>44</v>
      </c>
      <c r="G138" s="1" t="s">
        <v>29</v>
      </c>
      <c r="H138" s="1" t="s">
        <v>30</v>
      </c>
      <c r="I138" s="1" t="s">
        <v>45</v>
      </c>
      <c r="J138" s="1" t="s">
        <v>54</v>
      </c>
      <c r="K138" s="1" t="s">
        <v>46</v>
      </c>
      <c r="L138" s="2">
        <v>45837</v>
      </c>
      <c r="M138" s="2">
        <v>45850</v>
      </c>
      <c r="N138">
        <v>1534105</v>
      </c>
      <c r="O138">
        <v>54100</v>
      </c>
      <c r="P138">
        <v>1480005</v>
      </c>
      <c r="Q138" s="1" t="s">
        <v>78</v>
      </c>
      <c r="R138" s="1" t="s">
        <v>67</v>
      </c>
      <c r="S138" s="1" t="s">
        <v>36</v>
      </c>
      <c r="T138" s="1" t="s">
        <v>37</v>
      </c>
      <c r="U138">
        <v>4.5</v>
      </c>
      <c r="V138" t="s">
        <v>56</v>
      </c>
      <c r="W138">
        <v>7</v>
      </c>
      <c r="X138" s="1" t="s">
        <v>39</v>
      </c>
    </row>
    <row r="139" spans="1:24" x14ac:dyDescent="0.55000000000000004">
      <c r="A139" s="1" t="s">
        <v>223</v>
      </c>
      <c r="B139" s="1" t="s">
        <v>83</v>
      </c>
      <c r="C139">
        <v>34</v>
      </c>
      <c r="D139" s="1" t="s">
        <v>26</v>
      </c>
      <c r="E139" s="1" t="s">
        <v>52</v>
      </c>
      <c r="F139" s="1" t="s">
        <v>44</v>
      </c>
      <c r="G139" s="1" t="s">
        <v>29</v>
      </c>
      <c r="H139" s="1" t="s">
        <v>30</v>
      </c>
      <c r="I139" s="1" t="s">
        <v>31</v>
      </c>
      <c r="J139" s="1" t="s">
        <v>54</v>
      </c>
      <c r="K139" s="1" t="s">
        <v>46</v>
      </c>
      <c r="L139" s="2">
        <v>45838</v>
      </c>
      <c r="M139" s="2">
        <v>45868</v>
      </c>
      <c r="N139">
        <v>1640915</v>
      </c>
      <c r="O139">
        <v>58393</v>
      </c>
      <c r="P139">
        <v>1582522</v>
      </c>
      <c r="Q139" s="1" t="s">
        <v>34</v>
      </c>
      <c r="R139" s="1" t="s">
        <v>79</v>
      </c>
      <c r="S139" s="1" t="s">
        <v>37</v>
      </c>
      <c r="T139" s="1" t="s">
        <v>36</v>
      </c>
      <c r="U139">
        <v>4.2</v>
      </c>
      <c r="V139" t="s">
        <v>38</v>
      </c>
      <c r="W139">
        <v>7</v>
      </c>
      <c r="X139" s="1" t="s">
        <v>39</v>
      </c>
    </row>
    <row r="140" spans="1:24" x14ac:dyDescent="0.55000000000000004">
      <c r="A140" s="1" t="s">
        <v>224</v>
      </c>
      <c r="B140" s="1" t="s">
        <v>51</v>
      </c>
      <c r="C140">
        <v>51</v>
      </c>
      <c r="D140" s="1" t="s">
        <v>42</v>
      </c>
      <c r="E140" s="1" t="s">
        <v>43</v>
      </c>
      <c r="F140" s="1" t="s">
        <v>44</v>
      </c>
      <c r="G140" s="1" t="s">
        <v>29</v>
      </c>
      <c r="H140" s="1" t="s">
        <v>30</v>
      </c>
      <c r="I140" s="1" t="s">
        <v>45</v>
      </c>
      <c r="J140" s="1" t="s">
        <v>54</v>
      </c>
      <c r="K140" s="1" t="s">
        <v>46</v>
      </c>
      <c r="L140" s="2">
        <v>45828</v>
      </c>
      <c r="M140" s="2">
        <v>45864</v>
      </c>
      <c r="N140">
        <v>1325534</v>
      </c>
      <c r="O140">
        <v>69510</v>
      </c>
      <c r="P140">
        <v>1256024</v>
      </c>
      <c r="Q140" s="1" t="s">
        <v>55</v>
      </c>
      <c r="R140" s="1" t="s">
        <v>109</v>
      </c>
      <c r="S140" s="1" t="s">
        <v>37</v>
      </c>
      <c r="T140" s="1" t="s">
        <v>37</v>
      </c>
      <c r="U140">
        <v>3.2</v>
      </c>
      <c r="V140" t="s">
        <v>38</v>
      </c>
      <c r="W140">
        <v>7</v>
      </c>
      <c r="X140" s="1" t="s">
        <v>39</v>
      </c>
    </row>
    <row r="141" spans="1:24" x14ac:dyDescent="0.55000000000000004">
      <c r="A141" s="1" t="s">
        <v>225</v>
      </c>
      <c r="B141" s="1" t="s">
        <v>51</v>
      </c>
      <c r="C141">
        <v>32</v>
      </c>
      <c r="D141" s="1" t="s">
        <v>26</v>
      </c>
      <c r="E141" s="1" t="s">
        <v>90</v>
      </c>
      <c r="F141" s="1" t="s">
        <v>44</v>
      </c>
      <c r="G141" s="1" t="s">
        <v>29</v>
      </c>
      <c r="H141" s="1" t="s">
        <v>30</v>
      </c>
      <c r="I141" s="1" t="s">
        <v>53</v>
      </c>
      <c r="J141" s="1" t="s">
        <v>54</v>
      </c>
      <c r="K141" s="1" t="s">
        <v>46</v>
      </c>
      <c r="L141" s="2">
        <v>45808</v>
      </c>
      <c r="M141" s="2">
        <v>45830</v>
      </c>
      <c r="N141">
        <v>1687923</v>
      </c>
      <c r="O141">
        <v>27715</v>
      </c>
      <c r="P141">
        <v>1660208</v>
      </c>
      <c r="Q141" s="1" t="s">
        <v>55</v>
      </c>
      <c r="R141" s="1" t="s">
        <v>48</v>
      </c>
      <c r="S141" s="1" t="s">
        <v>37</v>
      </c>
      <c r="T141" s="1" t="s">
        <v>37</v>
      </c>
      <c r="U141">
        <v>4.0999999999999996</v>
      </c>
      <c r="V141" t="s">
        <v>38</v>
      </c>
      <c r="W141">
        <v>6</v>
      </c>
      <c r="X141" s="1" t="s">
        <v>68</v>
      </c>
    </row>
    <row r="142" spans="1:24" x14ac:dyDescent="0.55000000000000004">
      <c r="A142" s="1" t="s">
        <v>226</v>
      </c>
      <c r="B142" s="1" t="s">
        <v>41</v>
      </c>
      <c r="C142">
        <v>52</v>
      </c>
      <c r="D142" s="1" t="s">
        <v>26</v>
      </c>
      <c r="E142" s="1" t="s">
        <v>84</v>
      </c>
      <c r="F142" s="1" t="s">
        <v>85</v>
      </c>
      <c r="G142" s="1" t="s">
        <v>29</v>
      </c>
      <c r="H142" s="1" t="s">
        <v>65</v>
      </c>
      <c r="I142" s="1" t="s">
        <v>45</v>
      </c>
      <c r="J142" s="1" t="s">
        <v>54</v>
      </c>
      <c r="K142" s="1" t="s">
        <v>33</v>
      </c>
      <c r="L142" s="2">
        <v>46136</v>
      </c>
      <c r="M142" s="2">
        <v>46153</v>
      </c>
      <c r="N142">
        <v>1632212</v>
      </c>
      <c r="O142">
        <v>33660</v>
      </c>
      <c r="P142">
        <v>1598552</v>
      </c>
      <c r="Q142" s="1" t="s">
        <v>55</v>
      </c>
      <c r="R142" s="1" t="s">
        <v>109</v>
      </c>
      <c r="S142" s="1" t="s">
        <v>36</v>
      </c>
      <c r="T142" s="1" t="s">
        <v>37</v>
      </c>
      <c r="U142">
        <v>4.4000000000000004</v>
      </c>
      <c r="V142" t="s">
        <v>56</v>
      </c>
      <c r="W142">
        <v>5</v>
      </c>
      <c r="X142" s="1" t="s">
        <v>86</v>
      </c>
    </row>
    <row r="143" spans="1:24" x14ac:dyDescent="0.55000000000000004">
      <c r="A143" s="1" t="s">
        <v>227</v>
      </c>
      <c r="B143" s="1" t="s">
        <v>41</v>
      </c>
      <c r="C143">
        <v>29</v>
      </c>
      <c r="D143" s="1" t="s">
        <v>26</v>
      </c>
      <c r="E143" s="1" t="s">
        <v>71</v>
      </c>
      <c r="F143" s="1" t="s">
        <v>72</v>
      </c>
      <c r="G143" s="1" t="s">
        <v>29</v>
      </c>
      <c r="H143" s="1" t="s">
        <v>30</v>
      </c>
      <c r="I143" s="1" t="s">
        <v>59</v>
      </c>
      <c r="J143" s="1" t="s">
        <v>54</v>
      </c>
      <c r="K143" s="1" t="s">
        <v>33</v>
      </c>
      <c r="L143" s="2">
        <v>46032</v>
      </c>
      <c r="M143" s="2">
        <v>46064</v>
      </c>
      <c r="N143">
        <v>1709765</v>
      </c>
      <c r="O143">
        <v>16252</v>
      </c>
      <c r="P143">
        <v>1693513</v>
      </c>
      <c r="Q143" s="1" t="s">
        <v>55</v>
      </c>
      <c r="R143" s="1" t="s">
        <v>48</v>
      </c>
      <c r="S143" s="1" t="s">
        <v>36</v>
      </c>
      <c r="T143" s="1" t="s">
        <v>37</v>
      </c>
      <c r="U143">
        <v>3.4</v>
      </c>
      <c r="V143" t="s">
        <v>38</v>
      </c>
      <c r="W143">
        <v>2</v>
      </c>
      <c r="X143" s="1" t="s">
        <v>107</v>
      </c>
    </row>
    <row r="144" spans="1:24" x14ac:dyDescent="0.55000000000000004">
      <c r="A144" s="1" t="s">
        <v>228</v>
      </c>
      <c r="B144" s="1" t="s">
        <v>41</v>
      </c>
      <c r="C144">
        <v>50</v>
      </c>
      <c r="D144" s="1" t="s">
        <v>42</v>
      </c>
      <c r="E144" s="1" t="s">
        <v>27</v>
      </c>
      <c r="F144" s="1" t="s">
        <v>28</v>
      </c>
      <c r="G144" s="1" t="s">
        <v>29</v>
      </c>
      <c r="H144" s="1" t="s">
        <v>30</v>
      </c>
      <c r="I144" s="1" t="s">
        <v>45</v>
      </c>
      <c r="J144" s="1" t="s">
        <v>54</v>
      </c>
      <c r="K144" s="1" t="s">
        <v>33</v>
      </c>
      <c r="L144" s="2">
        <v>46084</v>
      </c>
      <c r="M144" s="2">
        <v>46099</v>
      </c>
      <c r="N144">
        <v>1600336</v>
      </c>
      <c r="O144">
        <v>39508</v>
      </c>
      <c r="P144">
        <v>1560828</v>
      </c>
      <c r="Q144" s="1" t="s">
        <v>55</v>
      </c>
      <c r="R144" s="1" t="s">
        <v>79</v>
      </c>
      <c r="S144" s="1" t="s">
        <v>36</v>
      </c>
      <c r="T144" s="1" t="s">
        <v>36</v>
      </c>
      <c r="U144">
        <v>4.3</v>
      </c>
      <c r="V144" t="s">
        <v>56</v>
      </c>
      <c r="W144">
        <v>3</v>
      </c>
      <c r="X144" s="1" t="s">
        <v>96</v>
      </c>
    </row>
    <row r="145" spans="1:24" x14ac:dyDescent="0.55000000000000004">
      <c r="A145" s="1" t="s">
        <v>229</v>
      </c>
      <c r="B145" s="1" t="s">
        <v>81</v>
      </c>
      <c r="C145">
        <v>59</v>
      </c>
      <c r="D145" s="1" t="s">
        <v>42</v>
      </c>
      <c r="E145" s="1" t="s">
        <v>84</v>
      </c>
      <c r="F145" s="1" t="s">
        <v>85</v>
      </c>
      <c r="G145" s="1" t="s">
        <v>29</v>
      </c>
      <c r="H145" s="1" t="s">
        <v>30</v>
      </c>
      <c r="I145" s="1" t="s">
        <v>74</v>
      </c>
      <c r="J145" s="1" t="s">
        <v>32</v>
      </c>
      <c r="K145" s="1" t="s">
        <v>46</v>
      </c>
      <c r="L145" s="2">
        <v>46027</v>
      </c>
      <c r="M145" s="2">
        <v>46058</v>
      </c>
      <c r="N145">
        <v>1700574</v>
      </c>
      <c r="O145">
        <v>63850</v>
      </c>
      <c r="P145">
        <v>1636724</v>
      </c>
      <c r="Q145" s="1" t="s">
        <v>34</v>
      </c>
      <c r="R145" s="1" t="s">
        <v>35</v>
      </c>
      <c r="S145" s="1" t="s">
        <v>37</v>
      </c>
      <c r="T145" s="1" t="s">
        <v>37</v>
      </c>
      <c r="U145">
        <v>3.6</v>
      </c>
      <c r="V145" t="s">
        <v>38</v>
      </c>
      <c r="W145">
        <v>2</v>
      </c>
      <c r="X145" s="1" t="s">
        <v>107</v>
      </c>
    </row>
    <row r="146" spans="1:24" x14ac:dyDescent="0.55000000000000004">
      <c r="A146" s="1" t="s">
        <v>230</v>
      </c>
      <c r="B146" s="1" t="s">
        <v>98</v>
      </c>
      <c r="C146">
        <v>24</v>
      </c>
      <c r="D146" s="1" t="s">
        <v>42</v>
      </c>
      <c r="E146" s="1" t="s">
        <v>27</v>
      </c>
      <c r="F146" s="1" t="s">
        <v>28</v>
      </c>
      <c r="G146" s="1" t="s">
        <v>29</v>
      </c>
      <c r="H146" s="1" t="s">
        <v>30</v>
      </c>
      <c r="I146" s="1" t="s">
        <v>45</v>
      </c>
      <c r="J146" s="1" t="s">
        <v>32</v>
      </c>
      <c r="K146" s="1" t="s">
        <v>46</v>
      </c>
      <c r="L146" s="2">
        <v>46016</v>
      </c>
      <c r="M146" s="2">
        <v>46057</v>
      </c>
      <c r="N146">
        <v>1854215</v>
      </c>
      <c r="O146">
        <v>82601</v>
      </c>
      <c r="P146">
        <v>1771614</v>
      </c>
      <c r="Q146" s="1" t="s">
        <v>78</v>
      </c>
      <c r="R146" s="1" t="s">
        <v>35</v>
      </c>
      <c r="S146" s="1" t="s">
        <v>37</v>
      </c>
      <c r="T146" s="1" t="s">
        <v>37</v>
      </c>
      <c r="U146">
        <v>4.3</v>
      </c>
      <c r="V146" t="s">
        <v>38</v>
      </c>
      <c r="W146">
        <v>2</v>
      </c>
      <c r="X146" s="1" t="s">
        <v>107</v>
      </c>
    </row>
    <row r="147" spans="1:24" x14ac:dyDescent="0.55000000000000004">
      <c r="A147" s="1" t="s">
        <v>231</v>
      </c>
      <c r="B147" s="1" t="s">
        <v>41</v>
      </c>
      <c r="C147">
        <v>29</v>
      </c>
      <c r="D147" s="1" t="s">
        <v>26</v>
      </c>
      <c r="E147" s="1" t="s">
        <v>43</v>
      </c>
      <c r="F147" s="1" t="s">
        <v>44</v>
      </c>
      <c r="G147" s="1" t="s">
        <v>29</v>
      </c>
      <c r="H147" s="1" t="s">
        <v>77</v>
      </c>
      <c r="I147" s="1" t="s">
        <v>59</v>
      </c>
      <c r="J147" s="1" t="s">
        <v>32</v>
      </c>
      <c r="K147" s="1" t="s">
        <v>33</v>
      </c>
      <c r="L147" s="2">
        <v>46185</v>
      </c>
      <c r="M147" s="2">
        <v>46216</v>
      </c>
      <c r="N147">
        <v>1353484</v>
      </c>
      <c r="O147">
        <v>20325</v>
      </c>
      <c r="P147">
        <v>1333159</v>
      </c>
      <c r="Q147" s="1" t="s">
        <v>55</v>
      </c>
      <c r="R147" s="1" t="s">
        <v>109</v>
      </c>
      <c r="S147" s="1" t="s">
        <v>36</v>
      </c>
      <c r="T147" s="1" t="s">
        <v>36</v>
      </c>
      <c r="U147">
        <v>3.4</v>
      </c>
      <c r="V147" t="s">
        <v>38</v>
      </c>
      <c r="W147">
        <v>7</v>
      </c>
      <c r="X147" s="1" t="s">
        <v>39</v>
      </c>
    </row>
    <row r="148" spans="1:24" x14ac:dyDescent="0.55000000000000004">
      <c r="A148" s="1" t="s">
        <v>232</v>
      </c>
      <c r="B148" s="1" t="s">
        <v>62</v>
      </c>
      <c r="C148">
        <v>26</v>
      </c>
      <c r="D148" s="1" t="s">
        <v>42</v>
      </c>
      <c r="E148" s="1" t="s">
        <v>43</v>
      </c>
      <c r="F148" s="1" t="s">
        <v>44</v>
      </c>
      <c r="G148" s="1" t="s">
        <v>29</v>
      </c>
      <c r="H148" s="1" t="s">
        <v>77</v>
      </c>
      <c r="I148" s="1" t="s">
        <v>45</v>
      </c>
      <c r="J148" s="1" t="s">
        <v>54</v>
      </c>
      <c r="K148" s="1" t="s">
        <v>46</v>
      </c>
      <c r="L148" s="2">
        <v>46178</v>
      </c>
      <c r="M148" s="2">
        <v>46211</v>
      </c>
      <c r="N148">
        <v>1534506</v>
      </c>
      <c r="O148">
        <v>61979</v>
      </c>
      <c r="P148">
        <v>1472527</v>
      </c>
      <c r="Q148" s="1" t="s">
        <v>78</v>
      </c>
      <c r="R148" s="1" t="s">
        <v>79</v>
      </c>
      <c r="S148" s="1" t="s">
        <v>36</v>
      </c>
      <c r="T148" s="1" t="s">
        <v>36</v>
      </c>
      <c r="U148">
        <v>3.4</v>
      </c>
      <c r="V148" t="s">
        <v>38</v>
      </c>
      <c r="W148">
        <v>7</v>
      </c>
      <c r="X148" s="1" t="s">
        <v>39</v>
      </c>
    </row>
    <row r="149" spans="1:24" x14ac:dyDescent="0.55000000000000004">
      <c r="A149" s="1" t="s">
        <v>233</v>
      </c>
      <c r="B149" s="1" t="s">
        <v>62</v>
      </c>
      <c r="C149">
        <v>37</v>
      </c>
      <c r="D149" s="1" t="s">
        <v>26</v>
      </c>
      <c r="E149" s="1" t="s">
        <v>52</v>
      </c>
      <c r="F149" s="1" t="s">
        <v>44</v>
      </c>
      <c r="G149" s="1" t="s">
        <v>29</v>
      </c>
      <c r="H149" s="1" t="s">
        <v>30</v>
      </c>
      <c r="I149" s="1" t="s">
        <v>53</v>
      </c>
      <c r="J149" s="1" t="s">
        <v>54</v>
      </c>
      <c r="K149" s="1" t="s">
        <v>33</v>
      </c>
      <c r="L149" s="2">
        <v>46086</v>
      </c>
      <c r="M149" s="2">
        <v>46097</v>
      </c>
      <c r="N149">
        <v>1590253</v>
      </c>
      <c r="O149">
        <v>15213</v>
      </c>
      <c r="P149">
        <v>1575040</v>
      </c>
      <c r="Q149" s="1" t="s">
        <v>55</v>
      </c>
      <c r="R149" s="1" t="s">
        <v>109</v>
      </c>
      <c r="S149" s="1" t="s">
        <v>36</v>
      </c>
      <c r="T149" s="1" t="s">
        <v>36</v>
      </c>
      <c r="U149">
        <v>4.7</v>
      </c>
      <c r="V149" t="s">
        <v>56</v>
      </c>
      <c r="W149">
        <v>3</v>
      </c>
      <c r="X149" s="1" t="s">
        <v>96</v>
      </c>
    </row>
    <row r="150" spans="1:24" x14ac:dyDescent="0.55000000000000004">
      <c r="A150" s="1" t="s">
        <v>234</v>
      </c>
      <c r="B150" s="1" t="s">
        <v>51</v>
      </c>
      <c r="C150">
        <v>36</v>
      </c>
      <c r="D150" s="1" t="s">
        <v>42</v>
      </c>
      <c r="E150" s="1" t="s">
        <v>27</v>
      </c>
      <c r="F150" s="1" t="s">
        <v>28</v>
      </c>
      <c r="G150" s="1" t="s">
        <v>29</v>
      </c>
      <c r="H150" s="1" t="s">
        <v>77</v>
      </c>
      <c r="I150" s="1" t="s">
        <v>45</v>
      </c>
      <c r="J150" s="1" t="s">
        <v>32</v>
      </c>
      <c r="K150" s="1" t="s">
        <v>46</v>
      </c>
      <c r="L150" s="2">
        <v>45720</v>
      </c>
      <c r="M150" s="2">
        <v>45750</v>
      </c>
      <c r="N150">
        <v>1784901</v>
      </c>
      <c r="O150">
        <v>19921</v>
      </c>
      <c r="P150">
        <v>1764980</v>
      </c>
      <c r="Q150" s="1" t="s">
        <v>55</v>
      </c>
      <c r="R150" s="1" t="s">
        <v>109</v>
      </c>
      <c r="S150" s="1" t="s">
        <v>37</v>
      </c>
      <c r="T150" s="1" t="s">
        <v>36</v>
      </c>
      <c r="U150">
        <v>3.8</v>
      </c>
      <c r="V150" t="s">
        <v>38</v>
      </c>
      <c r="W150">
        <v>4</v>
      </c>
      <c r="X150" s="1" t="s">
        <v>63</v>
      </c>
    </row>
    <row r="151" spans="1:24" x14ac:dyDescent="0.55000000000000004">
      <c r="A151" s="1" t="s">
        <v>235</v>
      </c>
      <c r="B151" s="1" t="s">
        <v>83</v>
      </c>
      <c r="C151">
        <v>37</v>
      </c>
      <c r="D151" s="1" t="s">
        <v>42</v>
      </c>
      <c r="E151" s="1" t="s">
        <v>71</v>
      </c>
      <c r="F151" s="1" t="s">
        <v>72</v>
      </c>
      <c r="G151" s="1" t="s">
        <v>29</v>
      </c>
      <c r="H151" s="1" t="s">
        <v>65</v>
      </c>
      <c r="I151" s="1" t="s">
        <v>74</v>
      </c>
      <c r="J151" s="1" t="s">
        <v>32</v>
      </c>
      <c r="K151" s="1" t="s">
        <v>33</v>
      </c>
      <c r="L151" s="2">
        <v>46131</v>
      </c>
      <c r="M151" s="2">
        <v>46162</v>
      </c>
      <c r="N151">
        <v>1658185</v>
      </c>
      <c r="O151">
        <v>75015</v>
      </c>
      <c r="P151">
        <v>1583170</v>
      </c>
      <c r="Q151" s="1" t="s">
        <v>55</v>
      </c>
      <c r="R151" s="1" t="s">
        <v>48</v>
      </c>
      <c r="S151" s="1" t="s">
        <v>36</v>
      </c>
      <c r="T151" s="1" t="s">
        <v>36</v>
      </c>
      <c r="U151">
        <v>4.7</v>
      </c>
      <c r="V151" t="s">
        <v>38</v>
      </c>
      <c r="W151">
        <v>5</v>
      </c>
      <c r="X151" s="1" t="s">
        <v>86</v>
      </c>
    </row>
    <row r="152" spans="1:24" x14ac:dyDescent="0.55000000000000004">
      <c r="A152" s="1" t="s">
        <v>236</v>
      </c>
      <c r="B152" s="1" t="s">
        <v>51</v>
      </c>
      <c r="C152">
        <v>35</v>
      </c>
      <c r="D152" s="1" t="s">
        <v>42</v>
      </c>
      <c r="E152" s="1" t="s">
        <v>52</v>
      </c>
      <c r="F152" s="1" t="s">
        <v>44</v>
      </c>
      <c r="G152" s="1" t="s">
        <v>29</v>
      </c>
      <c r="H152" s="1" t="s">
        <v>65</v>
      </c>
      <c r="I152" s="1" t="s">
        <v>74</v>
      </c>
      <c r="J152" s="1" t="s">
        <v>54</v>
      </c>
      <c r="K152" s="1" t="s">
        <v>33</v>
      </c>
      <c r="L152" s="2">
        <v>45766</v>
      </c>
      <c r="M152" s="2">
        <v>45794</v>
      </c>
      <c r="N152">
        <v>1781300</v>
      </c>
      <c r="O152">
        <v>93604</v>
      </c>
      <c r="P152">
        <v>1687696</v>
      </c>
      <c r="Q152" s="1" t="s">
        <v>47</v>
      </c>
      <c r="R152" s="1" t="s">
        <v>48</v>
      </c>
      <c r="S152" s="1" t="s">
        <v>36</v>
      </c>
      <c r="T152" s="1" t="s">
        <v>37</v>
      </c>
      <c r="U152">
        <v>4.9000000000000004</v>
      </c>
      <c r="V152" t="s">
        <v>38</v>
      </c>
      <c r="W152">
        <v>5</v>
      </c>
      <c r="X152" s="1" t="s">
        <v>86</v>
      </c>
    </row>
    <row r="153" spans="1:24" x14ac:dyDescent="0.55000000000000004">
      <c r="A153" s="1" t="s">
        <v>237</v>
      </c>
      <c r="B153" s="1" t="s">
        <v>93</v>
      </c>
      <c r="C153">
        <v>48</v>
      </c>
      <c r="D153" s="1" t="s">
        <v>26</v>
      </c>
      <c r="E153" s="1" t="s">
        <v>84</v>
      </c>
      <c r="F153" s="1" t="s">
        <v>85</v>
      </c>
      <c r="G153" s="1" t="s">
        <v>29</v>
      </c>
      <c r="H153" s="1" t="s">
        <v>65</v>
      </c>
      <c r="I153" s="1" t="s">
        <v>31</v>
      </c>
      <c r="J153" s="1" t="s">
        <v>54</v>
      </c>
      <c r="K153" s="1" t="s">
        <v>46</v>
      </c>
      <c r="L153" s="2">
        <v>45828</v>
      </c>
      <c r="M153" s="2">
        <v>45852</v>
      </c>
      <c r="N153">
        <v>1806072</v>
      </c>
      <c r="O153">
        <v>10210</v>
      </c>
      <c r="P153">
        <v>1795862</v>
      </c>
      <c r="Q153" s="1" t="s">
        <v>78</v>
      </c>
      <c r="R153" s="1" t="s">
        <v>48</v>
      </c>
      <c r="S153" s="1" t="s">
        <v>36</v>
      </c>
      <c r="T153" s="1" t="s">
        <v>36</v>
      </c>
      <c r="U153">
        <v>4.5999999999999996</v>
      </c>
      <c r="V153" t="s">
        <v>38</v>
      </c>
      <c r="W153">
        <v>7</v>
      </c>
      <c r="X153" s="1" t="s">
        <v>39</v>
      </c>
    </row>
    <row r="154" spans="1:24" x14ac:dyDescent="0.55000000000000004">
      <c r="A154" s="1" t="s">
        <v>238</v>
      </c>
      <c r="B154" s="1" t="s">
        <v>105</v>
      </c>
      <c r="C154">
        <v>44</v>
      </c>
      <c r="D154" s="1" t="s">
        <v>42</v>
      </c>
      <c r="E154" s="1" t="s">
        <v>27</v>
      </c>
      <c r="F154" s="1" t="s">
        <v>28</v>
      </c>
      <c r="G154" s="1" t="s">
        <v>29</v>
      </c>
      <c r="H154" s="1" t="s">
        <v>77</v>
      </c>
      <c r="I154" s="1" t="s">
        <v>31</v>
      </c>
      <c r="J154" s="1" t="s">
        <v>54</v>
      </c>
      <c r="K154" s="1" t="s">
        <v>46</v>
      </c>
      <c r="L154" s="2">
        <v>45893</v>
      </c>
      <c r="M154" s="2">
        <v>45931</v>
      </c>
      <c r="N154">
        <v>1609444</v>
      </c>
      <c r="O154">
        <v>44737</v>
      </c>
      <c r="P154">
        <v>1564707</v>
      </c>
      <c r="Q154" s="1" t="s">
        <v>55</v>
      </c>
      <c r="R154" s="1" t="s">
        <v>67</v>
      </c>
      <c r="S154" s="1" t="s">
        <v>37</v>
      </c>
      <c r="T154" s="1" t="s">
        <v>36</v>
      </c>
      <c r="U154">
        <v>4.4000000000000004</v>
      </c>
      <c r="V154" t="s">
        <v>38</v>
      </c>
      <c r="W154">
        <v>10</v>
      </c>
      <c r="X154" s="1" t="s">
        <v>75</v>
      </c>
    </row>
    <row r="155" spans="1:24" x14ac:dyDescent="0.55000000000000004">
      <c r="A155" s="1" t="s">
        <v>239</v>
      </c>
      <c r="B155" s="1" t="s">
        <v>25</v>
      </c>
      <c r="C155">
        <v>43</v>
      </c>
      <c r="D155" s="1" t="s">
        <v>26</v>
      </c>
      <c r="E155" s="1" t="s">
        <v>71</v>
      </c>
      <c r="F155" s="1" t="s">
        <v>72</v>
      </c>
      <c r="G155" s="1" t="s">
        <v>29</v>
      </c>
      <c r="H155" s="1" t="s">
        <v>65</v>
      </c>
      <c r="I155" s="1" t="s">
        <v>59</v>
      </c>
      <c r="J155" s="1" t="s">
        <v>32</v>
      </c>
      <c r="K155" s="1" t="s">
        <v>46</v>
      </c>
      <c r="L155" s="2">
        <v>45953</v>
      </c>
      <c r="M155" s="2">
        <v>45989</v>
      </c>
      <c r="N155">
        <v>1877067</v>
      </c>
      <c r="O155">
        <v>87836</v>
      </c>
      <c r="P155">
        <v>1789231</v>
      </c>
      <c r="Q155" s="1" t="s">
        <v>66</v>
      </c>
      <c r="R155" s="1" t="s">
        <v>109</v>
      </c>
      <c r="S155" s="1" t="s">
        <v>36</v>
      </c>
      <c r="T155" s="1" t="s">
        <v>36</v>
      </c>
      <c r="U155">
        <v>4.0999999999999996</v>
      </c>
      <c r="V155" t="s">
        <v>38</v>
      </c>
      <c r="W155">
        <v>11</v>
      </c>
      <c r="X155" s="1" t="s">
        <v>60</v>
      </c>
    </row>
    <row r="156" spans="1:24" x14ac:dyDescent="0.55000000000000004">
      <c r="A156" s="1" t="s">
        <v>240</v>
      </c>
      <c r="B156" s="1" t="s">
        <v>93</v>
      </c>
      <c r="C156">
        <v>45</v>
      </c>
      <c r="D156" s="1" t="s">
        <v>26</v>
      </c>
      <c r="E156" s="1" t="s">
        <v>71</v>
      </c>
      <c r="F156" s="1" t="s">
        <v>72</v>
      </c>
      <c r="G156" s="1" t="s">
        <v>29</v>
      </c>
      <c r="H156" s="1" t="s">
        <v>30</v>
      </c>
      <c r="I156" s="1" t="s">
        <v>45</v>
      </c>
      <c r="J156" s="1" t="s">
        <v>32</v>
      </c>
      <c r="K156" s="1" t="s">
        <v>33</v>
      </c>
      <c r="L156" s="2">
        <v>45768</v>
      </c>
      <c r="M156" s="2">
        <v>45810</v>
      </c>
      <c r="N156">
        <v>1601859</v>
      </c>
      <c r="O156">
        <v>40975</v>
      </c>
      <c r="P156">
        <v>1560884</v>
      </c>
      <c r="Q156" s="1" t="s">
        <v>55</v>
      </c>
      <c r="R156" s="1" t="s">
        <v>79</v>
      </c>
      <c r="S156" s="1" t="s">
        <v>36</v>
      </c>
      <c r="T156" s="1" t="s">
        <v>36</v>
      </c>
      <c r="U156">
        <v>3.5</v>
      </c>
      <c r="V156" t="s">
        <v>38</v>
      </c>
      <c r="W156">
        <v>6</v>
      </c>
      <c r="X156" s="1" t="s">
        <v>68</v>
      </c>
    </row>
    <row r="157" spans="1:24" x14ac:dyDescent="0.55000000000000004">
      <c r="A157" s="1" t="s">
        <v>241</v>
      </c>
      <c r="B157" s="1" t="s">
        <v>51</v>
      </c>
      <c r="C157">
        <v>36</v>
      </c>
      <c r="D157" s="1" t="s">
        <v>42</v>
      </c>
      <c r="E157" s="1" t="s">
        <v>43</v>
      </c>
      <c r="F157" s="1" t="s">
        <v>44</v>
      </c>
      <c r="G157" s="1" t="s">
        <v>29</v>
      </c>
      <c r="H157" s="1" t="s">
        <v>65</v>
      </c>
      <c r="I157" s="1" t="s">
        <v>74</v>
      </c>
      <c r="J157" s="1" t="s">
        <v>54</v>
      </c>
      <c r="K157" s="1" t="s">
        <v>46</v>
      </c>
      <c r="L157" s="2">
        <v>45782</v>
      </c>
      <c r="M157" s="2">
        <v>45826</v>
      </c>
      <c r="N157">
        <v>1470264</v>
      </c>
      <c r="O157">
        <v>76943</v>
      </c>
      <c r="P157">
        <v>1393321</v>
      </c>
      <c r="Q157" s="1" t="s">
        <v>78</v>
      </c>
      <c r="R157" s="1" t="s">
        <v>67</v>
      </c>
      <c r="S157" s="1" t="s">
        <v>37</v>
      </c>
      <c r="T157" s="1" t="s">
        <v>36</v>
      </c>
      <c r="U157">
        <v>4.2</v>
      </c>
      <c r="V157" t="s">
        <v>38</v>
      </c>
      <c r="W157">
        <v>6</v>
      </c>
      <c r="X157" s="1" t="s">
        <v>68</v>
      </c>
    </row>
    <row r="158" spans="1:24" x14ac:dyDescent="0.55000000000000004">
      <c r="A158" s="1" t="s">
        <v>242</v>
      </c>
      <c r="B158" s="1" t="s">
        <v>98</v>
      </c>
      <c r="C158">
        <v>53</v>
      </c>
      <c r="D158" s="1" t="s">
        <v>42</v>
      </c>
      <c r="E158" s="1" t="s">
        <v>90</v>
      </c>
      <c r="F158" s="1" t="s">
        <v>44</v>
      </c>
      <c r="G158" s="1" t="s">
        <v>29</v>
      </c>
      <c r="H158" s="1" t="s">
        <v>30</v>
      </c>
      <c r="I158" s="1" t="s">
        <v>74</v>
      </c>
      <c r="J158" s="1" t="s">
        <v>54</v>
      </c>
      <c r="K158" s="1" t="s">
        <v>33</v>
      </c>
      <c r="L158" s="2">
        <v>45887</v>
      </c>
      <c r="M158" s="2">
        <v>45906</v>
      </c>
      <c r="N158">
        <v>1490804</v>
      </c>
      <c r="O158">
        <v>28398</v>
      </c>
      <c r="P158">
        <v>1462406</v>
      </c>
      <c r="Q158" s="1" t="s">
        <v>78</v>
      </c>
      <c r="R158" s="1" t="s">
        <v>35</v>
      </c>
      <c r="S158" s="1" t="s">
        <v>36</v>
      </c>
      <c r="T158" s="1" t="s">
        <v>37</v>
      </c>
      <c r="U158">
        <v>3.2</v>
      </c>
      <c r="V158" t="s">
        <v>56</v>
      </c>
      <c r="W158">
        <v>9</v>
      </c>
      <c r="X158" s="1" t="s">
        <v>103</v>
      </c>
    </row>
    <row r="159" spans="1:24" x14ac:dyDescent="0.55000000000000004">
      <c r="A159" s="1" t="s">
        <v>243</v>
      </c>
      <c r="B159" s="1" t="s">
        <v>81</v>
      </c>
      <c r="C159">
        <v>47</v>
      </c>
      <c r="D159" s="1" t="s">
        <v>42</v>
      </c>
      <c r="E159" s="1" t="s">
        <v>27</v>
      </c>
      <c r="F159" s="1" t="s">
        <v>28</v>
      </c>
      <c r="G159" s="1" t="s">
        <v>29</v>
      </c>
      <c r="H159" s="1" t="s">
        <v>65</v>
      </c>
      <c r="I159" s="1" t="s">
        <v>53</v>
      </c>
      <c r="J159" s="1" t="s">
        <v>32</v>
      </c>
      <c r="K159" s="1" t="s">
        <v>33</v>
      </c>
      <c r="L159" s="2">
        <v>45883</v>
      </c>
      <c r="M159" s="2">
        <v>45900</v>
      </c>
      <c r="N159">
        <v>1338634</v>
      </c>
      <c r="O159">
        <v>52359</v>
      </c>
      <c r="P159">
        <v>1286275</v>
      </c>
      <c r="Q159" s="1" t="s">
        <v>34</v>
      </c>
      <c r="R159" s="1" t="s">
        <v>48</v>
      </c>
      <c r="S159" s="1" t="s">
        <v>37</v>
      </c>
      <c r="T159" s="1" t="s">
        <v>37</v>
      </c>
      <c r="U159">
        <v>3.9</v>
      </c>
      <c r="V159" t="s">
        <v>56</v>
      </c>
      <c r="W159">
        <v>8</v>
      </c>
      <c r="X159" s="1" t="s">
        <v>57</v>
      </c>
    </row>
    <row r="160" spans="1:24" x14ac:dyDescent="0.55000000000000004">
      <c r="A160" s="1" t="s">
        <v>244</v>
      </c>
      <c r="B160" s="1" t="s">
        <v>81</v>
      </c>
      <c r="C160">
        <v>23</v>
      </c>
      <c r="D160" s="1" t="s">
        <v>42</v>
      </c>
      <c r="E160" s="1" t="s">
        <v>84</v>
      </c>
      <c r="F160" s="1" t="s">
        <v>85</v>
      </c>
      <c r="G160" s="1" t="s">
        <v>29</v>
      </c>
      <c r="H160" s="1" t="s">
        <v>30</v>
      </c>
      <c r="I160" s="1" t="s">
        <v>45</v>
      </c>
      <c r="J160" s="1" t="s">
        <v>54</v>
      </c>
      <c r="K160" s="1" t="s">
        <v>33</v>
      </c>
      <c r="L160" s="2">
        <v>45796</v>
      </c>
      <c r="M160" s="2">
        <v>45830</v>
      </c>
      <c r="N160">
        <v>1731763</v>
      </c>
      <c r="O160">
        <v>97878</v>
      </c>
      <c r="P160">
        <v>1633885</v>
      </c>
      <c r="Q160" s="1" t="s">
        <v>47</v>
      </c>
      <c r="R160" s="1" t="s">
        <v>35</v>
      </c>
      <c r="S160" s="1" t="s">
        <v>36</v>
      </c>
      <c r="T160" s="1" t="s">
        <v>36</v>
      </c>
      <c r="U160">
        <v>3.7</v>
      </c>
      <c r="V160" t="s">
        <v>38</v>
      </c>
      <c r="W160">
        <v>6</v>
      </c>
      <c r="X160" s="1" t="s">
        <v>68</v>
      </c>
    </row>
    <row r="161" spans="1:24" x14ac:dyDescent="0.55000000000000004">
      <c r="A161" s="1" t="s">
        <v>245</v>
      </c>
      <c r="B161" s="1" t="s">
        <v>93</v>
      </c>
      <c r="C161">
        <v>44</v>
      </c>
      <c r="D161" s="1" t="s">
        <v>26</v>
      </c>
      <c r="E161" s="1" t="s">
        <v>84</v>
      </c>
      <c r="F161" s="1" t="s">
        <v>85</v>
      </c>
      <c r="G161" s="1" t="s">
        <v>29</v>
      </c>
      <c r="H161" s="1" t="s">
        <v>65</v>
      </c>
      <c r="I161" s="1" t="s">
        <v>59</v>
      </c>
      <c r="J161" s="1" t="s">
        <v>32</v>
      </c>
      <c r="K161" s="1" t="s">
        <v>33</v>
      </c>
      <c r="L161" s="2">
        <v>45949</v>
      </c>
      <c r="M161" s="2">
        <v>45978</v>
      </c>
      <c r="N161">
        <v>1452767</v>
      </c>
      <c r="O161">
        <v>10005</v>
      </c>
      <c r="P161">
        <v>1442762</v>
      </c>
      <c r="Q161" s="1" t="s">
        <v>47</v>
      </c>
      <c r="R161" s="1" t="s">
        <v>67</v>
      </c>
      <c r="S161" s="1" t="s">
        <v>37</v>
      </c>
      <c r="T161" s="1" t="s">
        <v>36</v>
      </c>
      <c r="U161">
        <v>3.9</v>
      </c>
      <c r="V161" t="s">
        <v>38</v>
      </c>
      <c r="W161">
        <v>11</v>
      </c>
      <c r="X161" s="1" t="s">
        <v>60</v>
      </c>
    </row>
    <row r="162" spans="1:24" x14ac:dyDescent="0.55000000000000004">
      <c r="A162" s="1" t="s">
        <v>246</v>
      </c>
      <c r="B162" s="1" t="s">
        <v>105</v>
      </c>
      <c r="C162">
        <v>58</v>
      </c>
      <c r="D162" s="1" t="s">
        <v>42</v>
      </c>
      <c r="E162" s="1" t="s">
        <v>71</v>
      </c>
      <c r="F162" s="1" t="s">
        <v>72</v>
      </c>
      <c r="G162" s="1" t="s">
        <v>29</v>
      </c>
      <c r="H162" s="1" t="s">
        <v>65</v>
      </c>
      <c r="I162" s="1" t="s">
        <v>31</v>
      </c>
      <c r="J162" s="1" t="s">
        <v>32</v>
      </c>
      <c r="K162" s="1" t="s">
        <v>33</v>
      </c>
      <c r="L162" s="2">
        <v>45922</v>
      </c>
      <c r="M162" s="2">
        <v>45952</v>
      </c>
      <c r="N162">
        <v>1828448</v>
      </c>
      <c r="O162">
        <v>63342</v>
      </c>
      <c r="P162">
        <v>1765106</v>
      </c>
      <c r="Q162" s="1" t="s">
        <v>66</v>
      </c>
      <c r="R162" s="1" t="s">
        <v>48</v>
      </c>
      <c r="S162" s="1" t="s">
        <v>37</v>
      </c>
      <c r="T162" s="1" t="s">
        <v>36</v>
      </c>
      <c r="U162">
        <v>3.9</v>
      </c>
      <c r="V162" t="s">
        <v>38</v>
      </c>
      <c r="W162">
        <v>10</v>
      </c>
      <c r="X162" s="1" t="s">
        <v>75</v>
      </c>
    </row>
    <row r="163" spans="1:24" x14ac:dyDescent="0.55000000000000004">
      <c r="A163" s="1" t="s">
        <v>247</v>
      </c>
      <c r="B163" s="1" t="s">
        <v>51</v>
      </c>
      <c r="C163">
        <v>34</v>
      </c>
      <c r="D163" s="1" t="s">
        <v>26</v>
      </c>
      <c r="E163" s="1" t="s">
        <v>71</v>
      </c>
      <c r="F163" s="1" t="s">
        <v>72</v>
      </c>
      <c r="G163" s="1" t="s">
        <v>29</v>
      </c>
      <c r="H163" s="1" t="s">
        <v>65</v>
      </c>
      <c r="I163" s="1" t="s">
        <v>31</v>
      </c>
      <c r="J163" s="1" t="s">
        <v>54</v>
      </c>
      <c r="K163" s="1" t="s">
        <v>46</v>
      </c>
      <c r="L163" s="2">
        <v>45725</v>
      </c>
      <c r="M163" s="2">
        <v>45769</v>
      </c>
      <c r="N163">
        <v>1610839</v>
      </c>
      <c r="O163">
        <v>94297</v>
      </c>
      <c r="P163">
        <v>1516542</v>
      </c>
      <c r="Q163" s="1" t="s">
        <v>66</v>
      </c>
      <c r="R163" s="1" t="s">
        <v>35</v>
      </c>
      <c r="S163" s="1" t="s">
        <v>36</v>
      </c>
      <c r="T163" s="1" t="s">
        <v>37</v>
      </c>
      <c r="U163">
        <v>4.0999999999999996</v>
      </c>
      <c r="V163" t="s">
        <v>38</v>
      </c>
      <c r="W163">
        <v>4</v>
      </c>
      <c r="X163" s="1" t="s">
        <v>63</v>
      </c>
    </row>
    <row r="164" spans="1:24" x14ac:dyDescent="0.55000000000000004">
      <c r="A164" s="1" t="s">
        <v>248</v>
      </c>
      <c r="B164" s="1" t="s">
        <v>98</v>
      </c>
      <c r="C164">
        <v>27</v>
      </c>
      <c r="D164" s="1" t="s">
        <v>26</v>
      </c>
      <c r="E164" s="1" t="s">
        <v>71</v>
      </c>
      <c r="F164" s="1" t="s">
        <v>72</v>
      </c>
      <c r="G164" s="1" t="s">
        <v>29</v>
      </c>
      <c r="H164" s="1" t="s">
        <v>65</v>
      </c>
      <c r="I164" s="1" t="s">
        <v>45</v>
      </c>
      <c r="J164" s="1" t="s">
        <v>54</v>
      </c>
      <c r="K164" s="1" t="s">
        <v>33</v>
      </c>
      <c r="L164" s="2">
        <v>45893</v>
      </c>
      <c r="M164" s="2">
        <v>45934</v>
      </c>
      <c r="N164">
        <v>1395991</v>
      </c>
      <c r="O164">
        <v>72467</v>
      </c>
      <c r="P164">
        <v>1323524</v>
      </c>
      <c r="Q164" s="1" t="s">
        <v>66</v>
      </c>
      <c r="R164" s="1" t="s">
        <v>48</v>
      </c>
      <c r="S164" s="1" t="s">
        <v>36</v>
      </c>
      <c r="T164" s="1" t="s">
        <v>37</v>
      </c>
      <c r="U164">
        <v>4.4000000000000004</v>
      </c>
      <c r="V164" t="s">
        <v>38</v>
      </c>
      <c r="W164">
        <v>10</v>
      </c>
      <c r="X164" s="1" t="s">
        <v>75</v>
      </c>
    </row>
    <row r="165" spans="1:24" x14ac:dyDescent="0.55000000000000004">
      <c r="A165" s="1" t="s">
        <v>249</v>
      </c>
      <c r="B165" s="1" t="s">
        <v>25</v>
      </c>
      <c r="C165">
        <v>36</v>
      </c>
      <c r="D165" s="1" t="s">
        <v>42</v>
      </c>
      <c r="E165" s="1" t="s">
        <v>27</v>
      </c>
      <c r="F165" s="1" t="s">
        <v>28</v>
      </c>
      <c r="G165" s="1" t="s">
        <v>29</v>
      </c>
      <c r="H165" s="1" t="s">
        <v>30</v>
      </c>
      <c r="I165" s="1" t="s">
        <v>53</v>
      </c>
      <c r="J165" s="1" t="s">
        <v>54</v>
      </c>
      <c r="K165" s="1" t="s">
        <v>33</v>
      </c>
      <c r="L165" s="2">
        <v>46042</v>
      </c>
      <c r="M165" s="2">
        <v>46062</v>
      </c>
      <c r="N165">
        <v>1369361</v>
      </c>
      <c r="O165">
        <v>73546</v>
      </c>
      <c r="P165">
        <v>1295815</v>
      </c>
      <c r="Q165" s="1" t="s">
        <v>55</v>
      </c>
      <c r="R165" s="1" t="s">
        <v>79</v>
      </c>
      <c r="S165" s="1" t="s">
        <v>37</v>
      </c>
      <c r="T165" s="1" t="s">
        <v>36</v>
      </c>
      <c r="U165">
        <v>4.8</v>
      </c>
      <c r="V165" t="s">
        <v>56</v>
      </c>
      <c r="W165">
        <v>2</v>
      </c>
      <c r="X165" s="1" t="s">
        <v>107</v>
      </c>
    </row>
    <row r="166" spans="1:24" x14ac:dyDescent="0.55000000000000004">
      <c r="A166" s="1" t="s">
        <v>250</v>
      </c>
      <c r="B166" s="1" t="s">
        <v>70</v>
      </c>
      <c r="C166">
        <v>45</v>
      </c>
      <c r="D166" s="1" t="s">
        <v>26</v>
      </c>
      <c r="E166" s="1" t="s">
        <v>27</v>
      </c>
      <c r="F166" s="1" t="s">
        <v>28</v>
      </c>
      <c r="G166" s="1" t="s">
        <v>29</v>
      </c>
      <c r="H166" s="1" t="s">
        <v>77</v>
      </c>
      <c r="I166" s="1" t="s">
        <v>45</v>
      </c>
      <c r="J166" s="1" t="s">
        <v>54</v>
      </c>
      <c r="K166" s="1" t="s">
        <v>46</v>
      </c>
      <c r="L166" s="2">
        <v>45695</v>
      </c>
      <c r="M166" s="2">
        <v>45716</v>
      </c>
      <c r="N166">
        <v>1621557</v>
      </c>
      <c r="O166">
        <v>14803</v>
      </c>
      <c r="P166">
        <v>1606754</v>
      </c>
      <c r="Q166" s="1" t="s">
        <v>34</v>
      </c>
      <c r="R166" s="1" t="s">
        <v>48</v>
      </c>
      <c r="S166" s="1" t="s">
        <v>36</v>
      </c>
      <c r="T166" s="1" t="s">
        <v>36</v>
      </c>
      <c r="U166">
        <v>4.3</v>
      </c>
      <c r="V166" t="s">
        <v>38</v>
      </c>
      <c r="W166">
        <v>2</v>
      </c>
      <c r="X166" s="1" t="s">
        <v>107</v>
      </c>
    </row>
    <row r="167" spans="1:24" x14ac:dyDescent="0.55000000000000004">
      <c r="A167" s="1" t="s">
        <v>251</v>
      </c>
      <c r="B167" s="1" t="s">
        <v>81</v>
      </c>
      <c r="C167">
        <v>28</v>
      </c>
      <c r="D167" s="1" t="s">
        <v>26</v>
      </c>
      <c r="E167" s="1" t="s">
        <v>52</v>
      </c>
      <c r="F167" s="1" t="s">
        <v>44</v>
      </c>
      <c r="G167" s="1" t="s">
        <v>29</v>
      </c>
      <c r="H167" s="1" t="s">
        <v>77</v>
      </c>
      <c r="I167" s="1" t="s">
        <v>45</v>
      </c>
      <c r="J167" s="1" t="s">
        <v>54</v>
      </c>
      <c r="K167" s="1" t="s">
        <v>46</v>
      </c>
      <c r="L167" s="2">
        <v>45685</v>
      </c>
      <c r="M167" s="2">
        <v>45728</v>
      </c>
      <c r="N167">
        <v>1517381</v>
      </c>
      <c r="O167">
        <v>12303</v>
      </c>
      <c r="P167">
        <v>1505078</v>
      </c>
      <c r="Q167" s="1" t="s">
        <v>34</v>
      </c>
      <c r="R167" s="1" t="s">
        <v>109</v>
      </c>
      <c r="S167" s="1" t="s">
        <v>36</v>
      </c>
      <c r="T167" s="1" t="s">
        <v>37</v>
      </c>
      <c r="U167">
        <v>3.2</v>
      </c>
      <c r="V167" t="s">
        <v>38</v>
      </c>
      <c r="W167">
        <v>3</v>
      </c>
      <c r="X167" s="1" t="s">
        <v>96</v>
      </c>
    </row>
    <row r="168" spans="1:24" x14ac:dyDescent="0.55000000000000004">
      <c r="A168" s="1" t="s">
        <v>252</v>
      </c>
      <c r="B168" s="1" t="s">
        <v>41</v>
      </c>
      <c r="C168">
        <v>44</v>
      </c>
      <c r="D168" s="1" t="s">
        <v>26</v>
      </c>
      <c r="E168" s="1" t="s">
        <v>27</v>
      </c>
      <c r="F168" s="1" t="s">
        <v>28</v>
      </c>
      <c r="G168" s="1" t="s">
        <v>29</v>
      </c>
      <c r="H168" s="1" t="s">
        <v>77</v>
      </c>
      <c r="I168" s="1" t="s">
        <v>59</v>
      </c>
      <c r="J168" s="1" t="s">
        <v>54</v>
      </c>
      <c r="K168" s="1" t="s">
        <v>46</v>
      </c>
      <c r="L168" s="2">
        <v>45942</v>
      </c>
      <c r="M168" s="2">
        <v>45981</v>
      </c>
      <c r="N168">
        <v>1731163</v>
      </c>
      <c r="O168">
        <v>11792</v>
      </c>
      <c r="P168">
        <v>1719371</v>
      </c>
      <c r="Q168" s="1" t="s">
        <v>34</v>
      </c>
      <c r="R168" s="1" t="s">
        <v>79</v>
      </c>
      <c r="S168" s="1" t="s">
        <v>37</v>
      </c>
      <c r="T168" s="1" t="s">
        <v>36</v>
      </c>
      <c r="U168">
        <v>3.3</v>
      </c>
      <c r="V168" t="s">
        <v>38</v>
      </c>
      <c r="W168">
        <v>11</v>
      </c>
      <c r="X168" s="1" t="s">
        <v>60</v>
      </c>
    </row>
    <row r="169" spans="1:24" x14ac:dyDescent="0.55000000000000004">
      <c r="A169" s="1" t="s">
        <v>253</v>
      </c>
      <c r="B169" s="1" t="s">
        <v>25</v>
      </c>
      <c r="C169">
        <v>59</v>
      </c>
      <c r="D169" s="1" t="s">
        <v>42</v>
      </c>
      <c r="E169" s="1" t="s">
        <v>27</v>
      </c>
      <c r="F169" s="1" t="s">
        <v>28</v>
      </c>
      <c r="G169" s="1" t="s">
        <v>29</v>
      </c>
      <c r="H169" s="1" t="s">
        <v>65</v>
      </c>
      <c r="I169" s="1" t="s">
        <v>45</v>
      </c>
      <c r="J169" s="1" t="s">
        <v>32</v>
      </c>
      <c r="K169" s="1" t="s">
        <v>33</v>
      </c>
      <c r="L169" s="2">
        <v>46134</v>
      </c>
      <c r="M169" s="2">
        <v>46150</v>
      </c>
      <c r="N169">
        <v>1844058</v>
      </c>
      <c r="O169">
        <v>73528</v>
      </c>
      <c r="P169">
        <v>1770530</v>
      </c>
      <c r="Q169" s="1" t="s">
        <v>34</v>
      </c>
      <c r="R169" s="1" t="s">
        <v>67</v>
      </c>
      <c r="S169" s="1" t="s">
        <v>37</v>
      </c>
      <c r="T169" s="1" t="s">
        <v>37</v>
      </c>
      <c r="U169">
        <v>4.5</v>
      </c>
      <c r="V169" t="s">
        <v>56</v>
      </c>
      <c r="W169">
        <v>5</v>
      </c>
      <c r="X169" s="1" t="s">
        <v>86</v>
      </c>
    </row>
    <row r="170" spans="1:24" x14ac:dyDescent="0.55000000000000004">
      <c r="A170" s="1" t="s">
        <v>254</v>
      </c>
      <c r="B170" s="1" t="s">
        <v>83</v>
      </c>
      <c r="C170">
        <v>23</v>
      </c>
      <c r="D170" s="1" t="s">
        <v>42</v>
      </c>
      <c r="E170" s="1" t="s">
        <v>43</v>
      </c>
      <c r="F170" s="1" t="s">
        <v>44</v>
      </c>
      <c r="G170" s="1" t="s">
        <v>29</v>
      </c>
      <c r="H170" s="1" t="s">
        <v>77</v>
      </c>
      <c r="I170" s="1" t="s">
        <v>74</v>
      </c>
      <c r="J170" s="1" t="s">
        <v>54</v>
      </c>
      <c r="K170" s="1" t="s">
        <v>46</v>
      </c>
      <c r="L170" s="2">
        <v>45902</v>
      </c>
      <c r="M170" s="2">
        <v>45913</v>
      </c>
      <c r="N170">
        <v>1370571</v>
      </c>
      <c r="O170">
        <v>13632</v>
      </c>
      <c r="P170">
        <v>1356939</v>
      </c>
      <c r="Q170" s="1" t="s">
        <v>66</v>
      </c>
      <c r="R170" s="1" t="s">
        <v>67</v>
      </c>
      <c r="S170" s="1" t="s">
        <v>36</v>
      </c>
      <c r="T170" s="1" t="s">
        <v>36</v>
      </c>
      <c r="U170">
        <v>4</v>
      </c>
      <c r="V170" t="s">
        <v>56</v>
      </c>
      <c r="W170">
        <v>9</v>
      </c>
      <c r="X170" s="1" t="s">
        <v>103</v>
      </c>
    </row>
    <row r="171" spans="1:24" x14ac:dyDescent="0.55000000000000004">
      <c r="A171" s="1" t="s">
        <v>255</v>
      </c>
      <c r="B171" s="1" t="s">
        <v>25</v>
      </c>
      <c r="C171">
        <v>33</v>
      </c>
      <c r="D171" s="1" t="s">
        <v>26</v>
      </c>
      <c r="E171" s="1" t="s">
        <v>43</v>
      </c>
      <c r="F171" s="1" t="s">
        <v>44</v>
      </c>
      <c r="G171" s="1" t="s">
        <v>29</v>
      </c>
      <c r="H171" s="1" t="s">
        <v>65</v>
      </c>
      <c r="I171" s="1" t="s">
        <v>45</v>
      </c>
      <c r="J171" s="1" t="s">
        <v>54</v>
      </c>
      <c r="K171" s="1" t="s">
        <v>33</v>
      </c>
      <c r="L171" s="2">
        <v>45695</v>
      </c>
      <c r="M171" s="2">
        <v>45727</v>
      </c>
      <c r="N171">
        <v>1800070</v>
      </c>
      <c r="O171">
        <v>46941</v>
      </c>
      <c r="P171">
        <v>1753129</v>
      </c>
      <c r="Q171" s="1" t="s">
        <v>55</v>
      </c>
      <c r="R171" s="1" t="s">
        <v>67</v>
      </c>
      <c r="S171" s="1" t="s">
        <v>36</v>
      </c>
      <c r="T171" s="1" t="s">
        <v>37</v>
      </c>
      <c r="U171">
        <v>4.4000000000000004</v>
      </c>
      <c r="V171" t="s">
        <v>38</v>
      </c>
      <c r="W171">
        <v>3</v>
      </c>
      <c r="X171" s="1" t="s">
        <v>96</v>
      </c>
    </row>
    <row r="172" spans="1:24" x14ac:dyDescent="0.55000000000000004">
      <c r="A172" s="1" t="s">
        <v>256</v>
      </c>
      <c r="B172" s="1" t="s">
        <v>105</v>
      </c>
      <c r="C172">
        <v>25</v>
      </c>
      <c r="D172" s="1" t="s">
        <v>42</v>
      </c>
      <c r="E172" s="1" t="s">
        <v>90</v>
      </c>
      <c r="F172" s="1" t="s">
        <v>44</v>
      </c>
      <c r="G172" s="1" t="s">
        <v>29</v>
      </c>
      <c r="H172" s="1" t="s">
        <v>65</v>
      </c>
      <c r="I172" s="1" t="s">
        <v>45</v>
      </c>
      <c r="J172" s="1" t="s">
        <v>32</v>
      </c>
      <c r="K172" s="1" t="s">
        <v>46</v>
      </c>
      <c r="L172" s="2">
        <v>46108</v>
      </c>
      <c r="M172" s="2">
        <v>46150</v>
      </c>
      <c r="N172">
        <v>1759898</v>
      </c>
      <c r="O172">
        <v>16239</v>
      </c>
      <c r="P172">
        <v>1743659</v>
      </c>
      <c r="Q172" s="1" t="s">
        <v>78</v>
      </c>
      <c r="R172" s="1" t="s">
        <v>67</v>
      </c>
      <c r="S172" s="1" t="s">
        <v>36</v>
      </c>
      <c r="T172" s="1" t="s">
        <v>36</v>
      </c>
      <c r="U172">
        <v>3.5</v>
      </c>
      <c r="V172" t="s">
        <v>38</v>
      </c>
      <c r="W172">
        <v>5</v>
      </c>
      <c r="X172" s="1" t="s">
        <v>86</v>
      </c>
    </row>
    <row r="173" spans="1:24" x14ac:dyDescent="0.55000000000000004">
      <c r="A173" s="1" t="s">
        <v>257</v>
      </c>
      <c r="B173" s="1" t="s">
        <v>51</v>
      </c>
      <c r="C173">
        <v>60</v>
      </c>
      <c r="D173" s="1" t="s">
        <v>42</v>
      </c>
      <c r="E173" s="1" t="s">
        <v>27</v>
      </c>
      <c r="F173" s="1" t="s">
        <v>28</v>
      </c>
      <c r="G173" s="1" t="s">
        <v>29</v>
      </c>
      <c r="H173" s="1" t="s">
        <v>65</v>
      </c>
      <c r="I173" s="1" t="s">
        <v>59</v>
      </c>
      <c r="J173" s="1" t="s">
        <v>32</v>
      </c>
      <c r="K173" s="1" t="s">
        <v>46</v>
      </c>
      <c r="L173" s="2">
        <v>46072</v>
      </c>
      <c r="M173" s="2">
        <v>46116</v>
      </c>
      <c r="N173">
        <v>1871412</v>
      </c>
      <c r="O173">
        <v>38818</v>
      </c>
      <c r="P173">
        <v>1832594</v>
      </c>
      <c r="Q173" s="1" t="s">
        <v>66</v>
      </c>
      <c r="R173" s="1" t="s">
        <v>67</v>
      </c>
      <c r="S173" s="1" t="s">
        <v>36</v>
      </c>
      <c r="T173" s="1" t="s">
        <v>37</v>
      </c>
      <c r="U173">
        <v>3</v>
      </c>
      <c r="V173" t="s">
        <v>38</v>
      </c>
      <c r="W173">
        <v>4</v>
      </c>
      <c r="X173" s="1" t="s">
        <v>63</v>
      </c>
    </row>
    <row r="174" spans="1:24" x14ac:dyDescent="0.55000000000000004">
      <c r="A174" s="1" t="s">
        <v>258</v>
      </c>
      <c r="B174" s="1" t="s">
        <v>81</v>
      </c>
      <c r="C174">
        <v>46</v>
      </c>
      <c r="D174" s="1" t="s">
        <v>26</v>
      </c>
      <c r="E174" s="1" t="s">
        <v>27</v>
      </c>
      <c r="F174" s="1" t="s">
        <v>28</v>
      </c>
      <c r="G174" s="1" t="s">
        <v>29</v>
      </c>
      <c r="H174" s="1" t="s">
        <v>30</v>
      </c>
      <c r="I174" s="1" t="s">
        <v>31</v>
      </c>
      <c r="J174" s="1" t="s">
        <v>32</v>
      </c>
      <c r="K174" s="1" t="s">
        <v>33</v>
      </c>
      <c r="L174" s="2">
        <v>46111</v>
      </c>
      <c r="M174" s="2">
        <v>46133</v>
      </c>
      <c r="N174">
        <v>1684606</v>
      </c>
      <c r="O174">
        <v>18534</v>
      </c>
      <c r="P174">
        <v>1666072</v>
      </c>
      <c r="Q174" s="1" t="s">
        <v>34</v>
      </c>
      <c r="R174" s="1" t="s">
        <v>109</v>
      </c>
      <c r="S174" s="1" t="s">
        <v>36</v>
      </c>
      <c r="T174" s="1" t="s">
        <v>36</v>
      </c>
      <c r="U174">
        <v>3.2</v>
      </c>
      <c r="V174" t="s">
        <v>38</v>
      </c>
      <c r="W174">
        <v>4</v>
      </c>
      <c r="X174" s="1" t="s">
        <v>63</v>
      </c>
    </row>
    <row r="175" spans="1:24" x14ac:dyDescent="0.55000000000000004">
      <c r="A175" s="1" t="s">
        <v>259</v>
      </c>
      <c r="B175" s="1" t="s">
        <v>25</v>
      </c>
      <c r="C175">
        <v>33</v>
      </c>
      <c r="D175" s="1" t="s">
        <v>26</v>
      </c>
      <c r="E175" s="1" t="s">
        <v>71</v>
      </c>
      <c r="F175" s="1" t="s">
        <v>72</v>
      </c>
      <c r="G175" s="1" t="s">
        <v>29</v>
      </c>
      <c r="H175" s="1" t="s">
        <v>30</v>
      </c>
      <c r="I175" s="1" t="s">
        <v>74</v>
      </c>
      <c r="J175" s="1" t="s">
        <v>32</v>
      </c>
      <c r="K175" s="1" t="s">
        <v>46</v>
      </c>
      <c r="L175" s="2">
        <v>46074</v>
      </c>
      <c r="M175" s="2">
        <v>46113</v>
      </c>
      <c r="N175">
        <v>1893454</v>
      </c>
      <c r="O175">
        <v>35470</v>
      </c>
      <c r="P175">
        <v>1857984</v>
      </c>
      <c r="Q175" s="1" t="s">
        <v>66</v>
      </c>
      <c r="R175" s="1" t="s">
        <v>67</v>
      </c>
      <c r="S175" s="1" t="s">
        <v>36</v>
      </c>
      <c r="T175" s="1" t="s">
        <v>37</v>
      </c>
      <c r="U175">
        <v>4.8</v>
      </c>
      <c r="V175" t="s">
        <v>38</v>
      </c>
      <c r="W175">
        <v>4</v>
      </c>
      <c r="X175" s="1" t="s">
        <v>63</v>
      </c>
    </row>
    <row r="176" spans="1:24" x14ac:dyDescent="0.55000000000000004">
      <c r="A176" s="1" t="s">
        <v>260</v>
      </c>
      <c r="B176" s="1" t="s">
        <v>25</v>
      </c>
      <c r="C176">
        <v>36</v>
      </c>
      <c r="D176" s="1" t="s">
        <v>42</v>
      </c>
      <c r="E176" s="1" t="s">
        <v>84</v>
      </c>
      <c r="F176" s="1" t="s">
        <v>85</v>
      </c>
      <c r="G176" s="1" t="s">
        <v>29</v>
      </c>
      <c r="H176" s="1" t="s">
        <v>30</v>
      </c>
      <c r="I176" s="1" t="s">
        <v>74</v>
      </c>
      <c r="J176" s="1" t="s">
        <v>32</v>
      </c>
      <c r="K176" s="1" t="s">
        <v>33</v>
      </c>
      <c r="L176" s="2">
        <v>45669</v>
      </c>
      <c r="M176" s="2">
        <v>45701</v>
      </c>
      <c r="N176">
        <v>1300468</v>
      </c>
      <c r="O176">
        <v>26328</v>
      </c>
      <c r="P176">
        <v>1274140</v>
      </c>
      <c r="Q176" s="1" t="s">
        <v>66</v>
      </c>
      <c r="R176" s="1" t="s">
        <v>79</v>
      </c>
      <c r="S176" s="1" t="s">
        <v>37</v>
      </c>
      <c r="T176" s="1" t="s">
        <v>37</v>
      </c>
      <c r="U176">
        <v>3.8</v>
      </c>
      <c r="V176" t="s">
        <v>38</v>
      </c>
      <c r="W176">
        <v>2</v>
      </c>
      <c r="X176" s="1" t="s">
        <v>107</v>
      </c>
    </row>
    <row r="177" spans="1:24" x14ac:dyDescent="0.55000000000000004">
      <c r="A177" s="1" t="s">
        <v>261</v>
      </c>
      <c r="B177" s="1" t="s">
        <v>83</v>
      </c>
      <c r="C177">
        <v>30</v>
      </c>
      <c r="D177" s="1" t="s">
        <v>26</v>
      </c>
      <c r="E177" s="1" t="s">
        <v>43</v>
      </c>
      <c r="F177" s="1" t="s">
        <v>44</v>
      </c>
      <c r="G177" s="1" t="s">
        <v>29</v>
      </c>
      <c r="H177" s="1" t="s">
        <v>65</v>
      </c>
      <c r="I177" s="1" t="s">
        <v>74</v>
      </c>
      <c r="J177" s="1" t="s">
        <v>32</v>
      </c>
      <c r="K177" s="1" t="s">
        <v>33</v>
      </c>
      <c r="L177" s="2">
        <v>45738</v>
      </c>
      <c r="M177" s="2">
        <v>45755</v>
      </c>
      <c r="N177">
        <v>1549826</v>
      </c>
      <c r="O177">
        <v>85409</v>
      </c>
      <c r="P177">
        <v>1464417</v>
      </c>
      <c r="Q177" s="1" t="s">
        <v>66</v>
      </c>
      <c r="R177" s="1" t="s">
        <v>67</v>
      </c>
      <c r="S177" s="1" t="s">
        <v>36</v>
      </c>
      <c r="T177" s="1" t="s">
        <v>36</v>
      </c>
      <c r="U177">
        <v>3.4</v>
      </c>
      <c r="V177" t="s">
        <v>56</v>
      </c>
      <c r="W177">
        <v>4</v>
      </c>
      <c r="X177" s="1" t="s">
        <v>63</v>
      </c>
    </row>
    <row r="178" spans="1:24" x14ac:dyDescent="0.55000000000000004">
      <c r="A178" s="1" t="s">
        <v>262</v>
      </c>
      <c r="B178" s="1" t="s">
        <v>81</v>
      </c>
      <c r="C178">
        <v>56</v>
      </c>
      <c r="D178" s="1" t="s">
        <v>42</v>
      </c>
      <c r="E178" s="1" t="s">
        <v>84</v>
      </c>
      <c r="F178" s="1" t="s">
        <v>85</v>
      </c>
      <c r="G178" s="1" t="s">
        <v>29</v>
      </c>
      <c r="H178" s="1" t="s">
        <v>65</v>
      </c>
      <c r="I178" s="1" t="s">
        <v>53</v>
      </c>
      <c r="J178" s="1" t="s">
        <v>54</v>
      </c>
      <c r="K178" s="1" t="s">
        <v>33</v>
      </c>
      <c r="L178" s="2">
        <v>45660</v>
      </c>
      <c r="M178" s="2">
        <v>45697</v>
      </c>
      <c r="N178">
        <v>1373916</v>
      </c>
      <c r="O178">
        <v>70995</v>
      </c>
      <c r="P178">
        <v>1302921</v>
      </c>
      <c r="Q178" s="1" t="s">
        <v>66</v>
      </c>
      <c r="R178" s="1" t="s">
        <v>79</v>
      </c>
      <c r="S178" s="1" t="s">
        <v>37</v>
      </c>
      <c r="T178" s="1" t="s">
        <v>37</v>
      </c>
      <c r="U178">
        <v>3.1</v>
      </c>
      <c r="V178" t="s">
        <v>38</v>
      </c>
      <c r="W178">
        <v>2</v>
      </c>
      <c r="X178" s="1" t="s">
        <v>107</v>
      </c>
    </row>
    <row r="179" spans="1:24" x14ac:dyDescent="0.55000000000000004">
      <c r="A179" s="1" t="s">
        <v>263</v>
      </c>
      <c r="B179" s="1" t="s">
        <v>51</v>
      </c>
      <c r="C179">
        <v>32</v>
      </c>
      <c r="D179" s="1" t="s">
        <v>26</v>
      </c>
      <c r="E179" s="1" t="s">
        <v>71</v>
      </c>
      <c r="F179" s="1" t="s">
        <v>72</v>
      </c>
      <c r="G179" s="1" t="s">
        <v>29</v>
      </c>
      <c r="H179" s="1" t="s">
        <v>65</v>
      </c>
      <c r="I179" s="1" t="s">
        <v>59</v>
      </c>
      <c r="J179" s="1" t="s">
        <v>32</v>
      </c>
      <c r="K179" s="1" t="s">
        <v>33</v>
      </c>
      <c r="L179" s="2">
        <v>46030</v>
      </c>
      <c r="M179" s="2">
        <v>46050</v>
      </c>
      <c r="N179">
        <v>1751844</v>
      </c>
      <c r="O179">
        <v>24103</v>
      </c>
      <c r="P179">
        <v>1727741</v>
      </c>
      <c r="Q179" s="1" t="s">
        <v>78</v>
      </c>
      <c r="R179" s="1" t="s">
        <v>35</v>
      </c>
      <c r="S179" s="1" t="s">
        <v>37</v>
      </c>
      <c r="T179" s="1" t="s">
        <v>36</v>
      </c>
      <c r="U179">
        <v>3.2</v>
      </c>
      <c r="V179" t="s">
        <v>56</v>
      </c>
      <c r="W179">
        <v>1</v>
      </c>
      <c r="X179" s="1" t="s">
        <v>88</v>
      </c>
    </row>
    <row r="180" spans="1:24" x14ac:dyDescent="0.55000000000000004">
      <c r="A180" s="1" t="s">
        <v>264</v>
      </c>
      <c r="B180" s="1" t="s">
        <v>25</v>
      </c>
      <c r="C180">
        <v>55</v>
      </c>
      <c r="D180" s="1" t="s">
        <v>26</v>
      </c>
      <c r="E180" s="1" t="s">
        <v>52</v>
      </c>
      <c r="F180" s="1" t="s">
        <v>44</v>
      </c>
      <c r="G180" s="1" t="s">
        <v>29</v>
      </c>
      <c r="H180" s="1" t="s">
        <v>65</v>
      </c>
      <c r="I180" s="1" t="s">
        <v>53</v>
      </c>
      <c r="J180" s="1" t="s">
        <v>54</v>
      </c>
      <c r="K180" s="1" t="s">
        <v>46</v>
      </c>
      <c r="L180" s="2">
        <v>45918</v>
      </c>
      <c r="M180" s="2">
        <v>45933</v>
      </c>
      <c r="N180">
        <v>1410794</v>
      </c>
      <c r="O180">
        <v>57403</v>
      </c>
      <c r="P180">
        <v>1353391</v>
      </c>
      <c r="Q180" s="1" t="s">
        <v>66</v>
      </c>
      <c r="R180" s="1" t="s">
        <v>35</v>
      </c>
      <c r="S180" s="1" t="s">
        <v>36</v>
      </c>
      <c r="T180" s="1" t="s">
        <v>36</v>
      </c>
      <c r="U180">
        <v>4.5999999999999996</v>
      </c>
      <c r="V180" t="s">
        <v>56</v>
      </c>
      <c r="W180">
        <v>10</v>
      </c>
      <c r="X180" s="1" t="s">
        <v>75</v>
      </c>
    </row>
    <row r="181" spans="1:24" x14ac:dyDescent="0.55000000000000004">
      <c r="A181" s="1" t="s">
        <v>265</v>
      </c>
      <c r="B181" s="1" t="s">
        <v>93</v>
      </c>
      <c r="C181">
        <v>28</v>
      </c>
      <c r="D181" s="1" t="s">
        <v>26</v>
      </c>
      <c r="E181" s="1" t="s">
        <v>90</v>
      </c>
      <c r="F181" s="1" t="s">
        <v>44</v>
      </c>
      <c r="G181" s="1" t="s">
        <v>29</v>
      </c>
      <c r="H181" s="1" t="s">
        <v>77</v>
      </c>
      <c r="I181" s="1" t="s">
        <v>31</v>
      </c>
      <c r="J181" s="1" t="s">
        <v>32</v>
      </c>
      <c r="K181" s="1" t="s">
        <v>33</v>
      </c>
      <c r="L181" s="2">
        <v>45941</v>
      </c>
      <c r="M181" s="2">
        <v>45955</v>
      </c>
      <c r="N181">
        <v>1306504</v>
      </c>
      <c r="O181">
        <v>10730</v>
      </c>
      <c r="P181">
        <v>1295774</v>
      </c>
      <c r="Q181" s="1" t="s">
        <v>34</v>
      </c>
      <c r="R181" s="1" t="s">
        <v>67</v>
      </c>
      <c r="S181" s="1" t="s">
        <v>36</v>
      </c>
      <c r="T181" s="1" t="s">
        <v>36</v>
      </c>
      <c r="U181">
        <v>4.4000000000000004</v>
      </c>
      <c r="V181" t="s">
        <v>56</v>
      </c>
      <c r="W181">
        <v>10</v>
      </c>
      <c r="X181" s="1" t="s">
        <v>75</v>
      </c>
    </row>
    <row r="182" spans="1:24" x14ac:dyDescent="0.55000000000000004">
      <c r="A182" s="1" t="s">
        <v>266</v>
      </c>
      <c r="B182" s="1" t="s">
        <v>83</v>
      </c>
      <c r="C182">
        <v>35</v>
      </c>
      <c r="D182" s="1" t="s">
        <v>26</v>
      </c>
      <c r="E182" s="1" t="s">
        <v>84</v>
      </c>
      <c r="F182" s="1" t="s">
        <v>85</v>
      </c>
      <c r="G182" s="1" t="s">
        <v>29</v>
      </c>
      <c r="H182" s="1" t="s">
        <v>65</v>
      </c>
      <c r="I182" s="1" t="s">
        <v>59</v>
      </c>
      <c r="J182" s="1" t="s">
        <v>32</v>
      </c>
      <c r="K182" s="1" t="s">
        <v>46</v>
      </c>
      <c r="L182" s="2">
        <v>45721</v>
      </c>
      <c r="M182" s="2">
        <v>45746</v>
      </c>
      <c r="N182">
        <v>1658685</v>
      </c>
      <c r="O182">
        <v>77123</v>
      </c>
      <c r="P182">
        <v>1581562</v>
      </c>
      <c r="Q182" s="1" t="s">
        <v>34</v>
      </c>
      <c r="R182" s="1" t="s">
        <v>35</v>
      </c>
      <c r="S182" s="1" t="s">
        <v>36</v>
      </c>
      <c r="T182" s="1" t="s">
        <v>37</v>
      </c>
      <c r="U182">
        <v>5</v>
      </c>
      <c r="V182" t="s">
        <v>38</v>
      </c>
      <c r="W182">
        <v>3</v>
      </c>
      <c r="X182" s="1" t="s">
        <v>96</v>
      </c>
    </row>
    <row r="183" spans="1:24" x14ac:dyDescent="0.55000000000000004">
      <c r="A183" s="1" t="s">
        <v>267</v>
      </c>
      <c r="B183" s="1" t="s">
        <v>81</v>
      </c>
      <c r="C183">
        <v>39</v>
      </c>
      <c r="D183" s="1" t="s">
        <v>26</v>
      </c>
      <c r="E183" s="1" t="s">
        <v>27</v>
      </c>
      <c r="F183" s="1" t="s">
        <v>28</v>
      </c>
      <c r="G183" s="1" t="s">
        <v>29</v>
      </c>
      <c r="H183" s="1" t="s">
        <v>65</v>
      </c>
      <c r="I183" s="1" t="s">
        <v>74</v>
      </c>
      <c r="J183" s="1" t="s">
        <v>32</v>
      </c>
      <c r="K183" s="1" t="s">
        <v>46</v>
      </c>
      <c r="L183" s="2">
        <v>46139</v>
      </c>
      <c r="M183" s="2">
        <v>46172</v>
      </c>
      <c r="N183">
        <v>1862389</v>
      </c>
      <c r="O183">
        <v>36457</v>
      </c>
      <c r="P183">
        <v>1825932</v>
      </c>
      <c r="Q183" s="1" t="s">
        <v>78</v>
      </c>
      <c r="R183" s="1" t="s">
        <v>48</v>
      </c>
      <c r="S183" s="1" t="s">
        <v>36</v>
      </c>
      <c r="T183" s="1" t="s">
        <v>36</v>
      </c>
      <c r="U183">
        <v>3.1</v>
      </c>
      <c r="V183" t="s">
        <v>38</v>
      </c>
      <c r="W183">
        <v>5</v>
      </c>
      <c r="X183" s="1" t="s">
        <v>86</v>
      </c>
    </row>
    <row r="184" spans="1:24" x14ac:dyDescent="0.55000000000000004">
      <c r="A184" s="1" t="s">
        <v>268</v>
      </c>
      <c r="B184" s="1" t="s">
        <v>70</v>
      </c>
      <c r="C184">
        <v>30</v>
      </c>
      <c r="D184" s="1" t="s">
        <v>26</v>
      </c>
      <c r="E184" s="1" t="s">
        <v>90</v>
      </c>
      <c r="F184" s="1" t="s">
        <v>44</v>
      </c>
      <c r="G184" s="1" t="s">
        <v>29</v>
      </c>
      <c r="H184" s="1" t="s">
        <v>77</v>
      </c>
      <c r="I184" s="1" t="s">
        <v>59</v>
      </c>
      <c r="J184" s="1" t="s">
        <v>54</v>
      </c>
      <c r="K184" s="1" t="s">
        <v>33</v>
      </c>
      <c r="L184" s="2">
        <v>45825</v>
      </c>
      <c r="M184" s="2">
        <v>45865</v>
      </c>
      <c r="N184">
        <v>1675846</v>
      </c>
      <c r="O184">
        <v>22582</v>
      </c>
      <c r="P184">
        <v>1653264</v>
      </c>
      <c r="Q184" s="1" t="s">
        <v>34</v>
      </c>
      <c r="R184" s="1" t="s">
        <v>67</v>
      </c>
      <c r="S184" s="1" t="s">
        <v>37</v>
      </c>
      <c r="T184" s="1" t="s">
        <v>37</v>
      </c>
      <c r="U184">
        <v>3.1</v>
      </c>
      <c r="V184" t="s">
        <v>38</v>
      </c>
      <c r="W184">
        <v>7</v>
      </c>
      <c r="X184" s="1" t="s">
        <v>39</v>
      </c>
    </row>
    <row r="185" spans="1:24" x14ac:dyDescent="0.55000000000000004">
      <c r="A185" s="1" t="s">
        <v>269</v>
      </c>
      <c r="B185" s="1" t="s">
        <v>70</v>
      </c>
      <c r="C185">
        <v>37</v>
      </c>
      <c r="D185" s="1" t="s">
        <v>26</v>
      </c>
      <c r="E185" s="1" t="s">
        <v>71</v>
      </c>
      <c r="F185" s="1" t="s">
        <v>72</v>
      </c>
      <c r="G185" s="1" t="s">
        <v>29</v>
      </c>
      <c r="H185" s="1" t="s">
        <v>77</v>
      </c>
      <c r="I185" s="1" t="s">
        <v>31</v>
      </c>
      <c r="J185" s="1" t="s">
        <v>54</v>
      </c>
      <c r="K185" s="1" t="s">
        <v>46</v>
      </c>
      <c r="L185" s="2">
        <v>45818</v>
      </c>
      <c r="M185" s="2">
        <v>45838</v>
      </c>
      <c r="N185">
        <v>1773307</v>
      </c>
      <c r="O185">
        <v>73970</v>
      </c>
      <c r="P185">
        <v>1699337</v>
      </c>
      <c r="Q185" s="1" t="s">
        <v>66</v>
      </c>
      <c r="R185" s="1" t="s">
        <v>79</v>
      </c>
      <c r="S185" s="1" t="s">
        <v>37</v>
      </c>
      <c r="T185" s="1" t="s">
        <v>37</v>
      </c>
      <c r="U185">
        <v>4.4000000000000004</v>
      </c>
      <c r="V185" t="s">
        <v>56</v>
      </c>
      <c r="W185">
        <v>6</v>
      </c>
      <c r="X185" s="1" t="s">
        <v>68</v>
      </c>
    </row>
    <row r="186" spans="1:24" x14ac:dyDescent="0.55000000000000004">
      <c r="A186" s="1" t="s">
        <v>270</v>
      </c>
      <c r="B186" s="1" t="s">
        <v>93</v>
      </c>
      <c r="C186">
        <v>48</v>
      </c>
      <c r="D186" s="1" t="s">
        <v>26</v>
      </c>
      <c r="E186" s="1" t="s">
        <v>90</v>
      </c>
      <c r="F186" s="1" t="s">
        <v>44</v>
      </c>
      <c r="G186" s="1" t="s">
        <v>29</v>
      </c>
      <c r="H186" s="1" t="s">
        <v>65</v>
      </c>
      <c r="I186" s="1" t="s">
        <v>74</v>
      </c>
      <c r="J186" s="1" t="s">
        <v>32</v>
      </c>
      <c r="K186" s="1" t="s">
        <v>33</v>
      </c>
      <c r="L186" s="2">
        <v>45942</v>
      </c>
      <c r="M186" s="2">
        <v>45969</v>
      </c>
      <c r="N186">
        <v>1869417</v>
      </c>
      <c r="O186">
        <v>40836</v>
      </c>
      <c r="P186">
        <v>1828581</v>
      </c>
      <c r="Q186" s="1" t="s">
        <v>66</v>
      </c>
      <c r="R186" s="1" t="s">
        <v>79</v>
      </c>
      <c r="S186" s="1" t="s">
        <v>37</v>
      </c>
      <c r="T186" s="1" t="s">
        <v>37</v>
      </c>
      <c r="U186">
        <v>4.7</v>
      </c>
      <c r="V186" t="s">
        <v>38</v>
      </c>
      <c r="W186">
        <v>11</v>
      </c>
      <c r="X186" s="1" t="s">
        <v>60</v>
      </c>
    </row>
    <row r="187" spans="1:24" x14ac:dyDescent="0.55000000000000004">
      <c r="A187" s="1" t="s">
        <v>271</v>
      </c>
      <c r="B187" s="1" t="s">
        <v>41</v>
      </c>
      <c r="C187">
        <v>50</v>
      </c>
      <c r="D187" s="1" t="s">
        <v>26</v>
      </c>
      <c r="E187" s="1" t="s">
        <v>52</v>
      </c>
      <c r="F187" s="1" t="s">
        <v>44</v>
      </c>
      <c r="G187" s="1" t="s">
        <v>29</v>
      </c>
      <c r="H187" s="1" t="s">
        <v>65</v>
      </c>
      <c r="I187" s="1" t="s">
        <v>53</v>
      </c>
      <c r="J187" s="1" t="s">
        <v>32</v>
      </c>
      <c r="K187" s="1" t="s">
        <v>33</v>
      </c>
      <c r="L187" s="2">
        <v>45855</v>
      </c>
      <c r="M187" s="2">
        <v>45893</v>
      </c>
      <c r="N187">
        <v>1651957</v>
      </c>
      <c r="O187">
        <v>80238</v>
      </c>
      <c r="P187">
        <v>1571719</v>
      </c>
      <c r="Q187" s="1" t="s">
        <v>47</v>
      </c>
      <c r="R187" s="1" t="s">
        <v>67</v>
      </c>
      <c r="S187" s="1" t="s">
        <v>36</v>
      </c>
      <c r="T187" s="1" t="s">
        <v>37</v>
      </c>
      <c r="U187">
        <v>4.5999999999999996</v>
      </c>
      <c r="V187" t="s">
        <v>38</v>
      </c>
      <c r="W187">
        <v>8</v>
      </c>
      <c r="X187" s="1" t="s">
        <v>57</v>
      </c>
    </row>
    <row r="188" spans="1:24" x14ac:dyDescent="0.55000000000000004">
      <c r="A188" s="1" t="s">
        <v>272</v>
      </c>
      <c r="B188" s="1" t="s">
        <v>98</v>
      </c>
      <c r="C188">
        <v>60</v>
      </c>
      <c r="D188" s="1" t="s">
        <v>26</v>
      </c>
      <c r="E188" s="1" t="s">
        <v>71</v>
      </c>
      <c r="F188" s="1" t="s">
        <v>72</v>
      </c>
      <c r="G188" s="1" t="s">
        <v>29</v>
      </c>
      <c r="H188" s="1" t="s">
        <v>65</v>
      </c>
      <c r="I188" s="1" t="s">
        <v>45</v>
      </c>
      <c r="J188" s="1" t="s">
        <v>32</v>
      </c>
      <c r="K188" s="1" t="s">
        <v>33</v>
      </c>
      <c r="L188" s="2">
        <v>46132</v>
      </c>
      <c r="M188" s="2">
        <v>46146</v>
      </c>
      <c r="N188">
        <v>1582722</v>
      </c>
      <c r="O188">
        <v>72588</v>
      </c>
      <c r="P188">
        <v>1510134</v>
      </c>
      <c r="Q188" s="1" t="s">
        <v>78</v>
      </c>
      <c r="R188" s="1" t="s">
        <v>48</v>
      </c>
      <c r="S188" s="1" t="s">
        <v>37</v>
      </c>
      <c r="T188" s="1" t="s">
        <v>36</v>
      </c>
      <c r="U188">
        <v>4.3</v>
      </c>
      <c r="V188" t="s">
        <v>56</v>
      </c>
      <c r="W188">
        <v>5</v>
      </c>
      <c r="X188" s="1" t="s">
        <v>86</v>
      </c>
    </row>
    <row r="189" spans="1:24" x14ac:dyDescent="0.55000000000000004">
      <c r="A189" s="1" t="s">
        <v>273</v>
      </c>
      <c r="B189" s="1" t="s">
        <v>93</v>
      </c>
      <c r="C189">
        <v>40</v>
      </c>
      <c r="D189" s="1" t="s">
        <v>42</v>
      </c>
      <c r="E189" s="1" t="s">
        <v>90</v>
      </c>
      <c r="F189" s="1" t="s">
        <v>44</v>
      </c>
      <c r="G189" s="1" t="s">
        <v>29</v>
      </c>
      <c r="H189" s="1" t="s">
        <v>30</v>
      </c>
      <c r="I189" s="1" t="s">
        <v>59</v>
      </c>
      <c r="J189" s="1" t="s">
        <v>32</v>
      </c>
      <c r="K189" s="1" t="s">
        <v>46</v>
      </c>
      <c r="L189" s="2">
        <v>45792</v>
      </c>
      <c r="M189" s="2">
        <v>45817</v>
      </c>
      <c r="N189">
        <v>1563942</v>
      </c>
      <c r="O189">
        <v>48320</v>
      </c>
      <c r="P189">
        <v>1515622</v>
      </c>
      <c r="Q189" s="1" t="s">
        <v>55</v>
      </c>
      <c r="R189" s="1" t="s">
        <v>109</v>
      </c>
      <c r="S189" s="1" t="s">
        <v>36</v>
      </c>
      <c r="T189" s="1" t="s">
        <v>36</v>
      </c>
      <c r="U189">
        <v>3.2</v>
      </c>
      <c r="V189" t="s">
        <v>38</v>
      </c>
      <c r="W189">
        <v>6</v>
      </c>
      <c r="X189" s="1" t="s">
        <v>68</v>
      </c>
    </row>
    <row r="190" spans="1:24" x14ac:dyDescent="0.55000000000000004">
      <c r="A190" s="1" t="s">
        <v>274</v>
      </c>
      <c r="B190" s="1" t="s">
        <v>105</v>
      </c>
      <c r="C190">
        <v>44</v>
      </c>
      <c r="D190" s="1" t="s">
        <v>42</v>
      </c>
      <c r="E190" s="1" t="s">
        <v>52</v>
      </c>
      <c r="F190" s="1" t="s">
        <v>44</v>
      </c>
      <c r="G190" s="1" t="s">
        <v>29</v>
      </c>
      <c r="H190" s="1" t="s">
        <v>30</v>
      </c>
      <c r="I190" s="1" t="s">
        <v>59</v>
      </c>
      <c r="J190" s="1" t="s">
        <v>32</v>
      </c>
      <c r="K190" s="1" t="s">
        <v>46</v>
      </c>
      <c r="L190" s="2">
        <v>45976</v>
      </c>
      <c r="M190" s="2">
        <v>46011</v>
      </c>
      <c r="N190">
        <v>1795269</v>
      </c>
      <c r="O190">
        <v>94484</v>
      </c>
      <c r="P190">
        <v>1700785</v>
      </c>
      <c r="Q190" s="1" t="s">
        <v>78</v>
      </c>
      <c r="R190" s="1" t="s">
        <v>79</v>
      </c>
      <c r="S190" s="1" t="s">
        <v>37</v>
      </c>
      <c r="T190" s="1" t="s">
        <v>36</v>
      </c>
      <c r="U190">
        <v>3.8</v>
      </c>
      <c r="V190" t="s">
        <v>38</v>
      </c>
      <c r="W190">
        <v>12</v>
      </c>
      <c r="X190" s="1" t="s">
        <v>49</v>
      </c>
    </row>
    <row r="191" spans="1:24" x14ac:dyDescent="0.55000000000000004">
      <c r="A191" s="1" t="s">
        <v>275</v>
      </c>
      <c r="B191" s="1" t="s">
        <v>51</v>
      </c>
      <c r="C191">
        <v>37</v>
      </c>
      <c r="D191" s="1" t="s">
        <v>26</v>
      </c>
      <c r="E191" s="1" t="s">
        <v>84</v>
      </c>
      <c r="F191" s="1" t="s">
        <v>85</v>
      </c>
      <c r="G191" s="1" t="s">
        <v>29</v>
      </c>
      <c r="H191" s="1" t="s">
        <v>65</v>
      </c>
      <c r="I191" s="1" t="s">
        <v>31</v>
      </c>
      <c r="J191" s="1" t="s">
        <v>54</v>
      </c>
      <c r="K191" s="1" t="s">
        <v>46</v>
      </c>
      <c r="L191" s="2">
        <v>45791</v>
      </c>
      <c r="M191" s="2">
        <v>45831</v>
      </c>
      <c r="N191">
        <v>1804268</v>
      </c>
      <c r="O191">
        <v>56809</v>
      </c>
      <c r="P191">
        <v>1747459</v>
      </c>
      <c r="Q191" s="1" t="s">
        <v>47</v>
      </c>
      <c r="R191" s="1" t="s">
        <v>48</v>
      </c>
      <c r="S191" s="1" t="s">
        <v>37</v>
      </c>
      <c r="T191" s="1" t="s">
        <v>37</v>
      </c>
      <c r="U191">
        <v>3.8</v>
      </c>
      <c r="V191" t="s">
        <v>38</v>
      </c>
      <c r="W191">
        <v>6</v>
      </c>
      <c r="X191" s="1" t="s">
        <v>68</v>
      </c>
    </row>
    <row r="192" spans="1:24" x14ac:dyDescent="0.55000000000000004">
      <c r="A192" s="1" t="s">
        <v>276</v>
      </c>
      <c r="B192" s="1" t="s">
        <v>62</v>
      </c>
      <c r="C192">
        <v>37</v>
      </c>
      <c r="D192" s="1" t="s">
        <v>42</v>
      </c>
      <c r="E192" s="1" t="s">
        <v>90</v>
      </c>
      <c r="F192" s="1" t="s">
        <v>44</v>
      </c>
      <c r="G192" s="1" t="s">
        <v>29</v>
      </c>
      <c r="H192" s="1" t="s">
        <v>30</v>
      </c>
      <c r="I192" s="1" t="s">
        <v>53</v>
      </c>
      <c r="J192" s="1" t="s">
        <v>54</v>
      </c>
      <c r="K192" s="1" t="s">
        <v>46</v>
      </c>
      <c r="L192" s="2">
        <v>45974</v>
      </c>
      <c r="M192" s="2">
        <v>46007</v>
      </c>
      <c r="N192">
        <v>1896925</v>
      </c>
      <c r="O192">
        <v>67840</v>
      </c>
      <c r="P192">
        <v>1829085</v>
      </c>
      <c r="Q192" s="1" t="s">
        <v>34</v>
      </c>
      <c r="R192" s="1" t="s">
        <v>48</v>
      </c>
      <c r="S192" s="1" t="s">
        <v>36</v>
      </c>
      <c r="T192" s="1" t="s">
        <v>36</v>
      </c>
      <c r="U192">
        <v>5</v>
      </c>
      <c r="V192" t="s">
        <v>38</v>
      </c>
      <c r="W192">
        <v>12</v>
      </c>
      <c r="X192" s="1" t="s">
        <v>49</v>
      </c>
    </row>
    <row r="193" spans="1:24" x14ac:dyDescent="0.55000000000000004">
      <c r="A193" s="1" t="s">
        <v>277</v>
      </c>
      <c r="B193" s="1" t="s">
        <v>51</v>
      </c>
      <c r="C193">
        <v>44</v>
      </c>
      <c r="D193" s="1" t="s">
        <v>26</v>
      </c>
      <c r="E193" s="1" t="s">
        <v>84</v>
      </c>
      <c r="F193" s="1" t="s">
        <v>85</v>
      </c>
      <c r="G193" s="1" t="s">
        <v>29</v>
      </c>
      <c r="H193" s="1" t="s">
        <v>65</v>
      </c>
      <c r="I193" s="1" t="s">
        <v>74</v>
      </c>
      <c r="J193" s="1" t="s">
        <v>54</v>
      </c>
      <c r="K193" s="1" t="s">
        <v>33</v>
      </c>
      <c r="L193" s="2">
        <v>46160</v>
      </c>
      <c r="M193" s="2">
        <v>46172</v>
      </c>
      <c r="N193">
        <v>1546253</v>
      </c>
      <c r="O193">
        <v>85242</v>
      </c>
      <c r="P193">
        <v>1461011</v>
      </c>
      <c r="Q193" s="1" t="s">
        <v>66</v>
      </c>
      <c r="R193" s="1" t="s">
        <v>79</v>
      </c>
      <c r="S193" s="1" t="s">
        <v>36</v>
      </c>
      <c r="T193" s="1" t="s">
        <v>37</v>
      </c>
      <c r="U193">
        <v>3.1</v>
      </c>
      <c r="V193" t="s">
        <v>56</v>
      </c>
      <c r="W193">
        <v>5</v>
      </c>
      <c r="X193" s="1" t="s">
        <v>86</v>
      </c>
    </row>
    <row r="194" spans="1:24" x14ac:dyDescent="0.55000000000000004">
      <c r="A194" s="1" t="s">
        <v>278</v>
      </c>
      <c r="B194" s="1" t="s">
        <v>25</v>
      </c>
      <c r="C194">
        <v>48</v>
      </c>
      <c r="D194" s="1" t="s">
        <v>26</v>
      </c>
      <c r="E194" s="1" t="s">
        <v>90</v>
      </c>
      <c r="F194" s="1" t="s">
        <v>44</v>
      </c>
      <c r="G194" s="1" t="s">
        <v>29</v>
      </c>
      <c r="H194" s="1" t="s">
        <v>65</v>
      </c>
      <c r="I194" s="1" t="s">
        <v>53</v>
      </c>
      <c r="J194" s="1" t="s">
        <v>54</v>
      </c>
      <c r="K194" s="1" t="s">
        <v>46</v>
      </c>
      <c r="L194" s="2">
        <v>46137</v>
      </c>
      <c r="M194" s="2">
        <v>46149</v>
      </c>
      <c r="N194">
        <v>1822569</v>
      </c>
      <c r="O194">
        <v>53247</v>
      </c>
      <c r="P194">
        <v>1769322</v>
      </c>
      <c r="Q194" s="1" t="s">
        <v>34</v>
      </c>
      <c r="R194" s="1" t="s">
        <v>109</v>
      </c>
      <c r="S194" s="1" t="s">
        <v>36</v>
      </c>
      <c r="T194" s="1" t="s">
        <v>36</v>
      </c>
      <c r="U194">
        <v>3.3</v>
      </c>
      <c r="V194" t="s">
        <v>56</v>
      </c>
      <c r="W194">
        <v>5</v>
      </c>
      <c r="X194" s="1" t="s">
        <v>86</v>
      </c>
    </row>
    <row r="195" spans="1:24" x14ac:dyDescent="0.55000000000000004">
      <c r="A195" s="1" t="s">
        <v>279</v>
      </c>
      <c r="B195" s="1" t="s">
        <v>93</v>
      </c>
      <c r="C195">
        <v>48</v>
      </c>
      <c r="D195" s="1" t="s">
        <v>42</v>
      </c>
      <c r="E195" s="1" t="s">
        <v>43</v>
      </c>
      <c r="F195" s="1" t="s">
        <v>44</v>
      </c>
      <c r="G195" s="1" t="s">
        <v>29</v>
      </c>
      <c r="H195" s="1" t="s">
        <v>77</v>
      </c>
      <c r="I195" s="1" t="s">
        <v>74</v>
      </c>
      <c r="J195" s="1" t="s">
        <v>54</v>
      </c>
      <c r="K195" s="1" t="s">
        <v>46</v>
      </c>
      <c r="L195" s="2">
        <v>46045</v>
      </c>
      <c r="M195" s="2">
        <v>46071</v>
      </c>
      <c r="N195">
        <v>1447373</v>
      </c>
      <c r="O195">
        <v>76923</v>
      </c>
      <c r="P195">
        <v>1370450</v>
      </c>
      <c r="Q195" s="1" t="s">
        <v>78</v>
      </c>
      <c r="R195" s="1" t="s">
        <v>35</v>
      </c>
      <c r="S195" s="1" t="s">
        <v>37</v>
      </c>
      <c r="T195" s="1" t="s">
        <v>37</v>
      </c>
      <c r="U195">
        <v>3</v>
      </c>
      <c r="V195" t="s">
        <v>38</v>
      </c>
      <c r="W195">
        <v>2</v>
      </c>
      <c r="X195" s="1" t="s">
        <v>107</v>
      </c>
    </row>
    <row r="196" spans="1:24" x14ac:dyDescent="0.55000000000000004">
      <c r="A196" s="1" t="s">
        <v>280</v>
      </c>
      <c r="B196" s="1" t="s">
        <v>62</v>
      </c>
      <c r="C196">
        <v>49</v>
      </c>
      <c r="D196" s="1" t="s">
        <v>26</v>
      </c>
      <c r="E196" s="1" t="s">
        <v>43</v>
      </c>
      <c r="F196" s="1" t="s">
        <v>44</v>
      </c>
      <c r="G196" s="1" t="s">
        <v>29</v>
      </c>
      <c r="H196" s="1" t="s">
        <v>30</v>
      </c>
      <c r="I196" s="1" t="s">
        <v>45</v>
      </c>
      <c r="J196" s="1" t="s">
        <v>32</v>
      </c>
      <c r="K196" s="1" t="s">
        <v>46</v>
      </c>
      <c r="L196" s="2">
        <v>45918</v>
      </c>
      <c r="M196" s="2">
        <v>45943</v>
      </c>
      <c r="N196">
        <v>1769431</v>
      </c>
      <c r="O196">
        <v>50404</v>
      </c>
      <c r="P196">
        <v>1719027</v>
      </c>
      <c r="Q196" s="1" t="s">
        <v>66</v>
      </c>
      <c r="R196" s="1" t="s">
        <v>67</v>
      </c>
      <c r="S196" s="1" t="s">
        <v>37</v>
      </c>
      <c r="T196" s="1" t="s">
        <v>36</v>
      </c>
      <c r="U196">
        <v>4.4000000000000004</v>
      </c>
      <c r="V196" t="s">
        <v>38</v>
      </c>
      <c r="W196">
        <v>10</v>
      </c>
      <c r="X196" s="1" t="s">
        <v>75</v>
      </c>
    </row>
    <row r="197" spans="1:24" x14ac:dyDescent="0.55000000000000004">
      <c r="A197" s="1" t="s">
        <v>281</v>
      </c>
      <c r="B197" s="1" t="s">
        <v>41</v>
      </c>
      <c r="C197">
        <v>48</v>
      </c>
      <c r="D197" s="1" t="s">
        <v>42</v>
      </c>
      <c r="E197" s="1" t="s">
        <v>71</v>
      </c>
      <c r="F197" s="1" t="s">
        <v>72</v>
      </c>
      <c r="G197" s="1" t="s">
        <v>29</v>
      </c>
      <c r="H197" s="1" t="s">
        <v>77</v>
      </c>
      <c r="I197" s="1" t="s">
        <v>74</v>
      </c>
      <c r="J197" s="1" t="s">
        <v>32</v>
      </c>
      <c r="K197" s="1" t="s">
        <v>33</v>
      </c>
      <c r="L197" s="2">
        <v>46115</v>
      </c>
      <c r="M197" s="2">
        <v>46130</v>
      </c>
      <c r="N197">
        <v>1604126</v>
      </c>
      <c r="O197">
        <v>35346</v>
      </c>
      <c r="P197">
        <v>1568780</v>
      </c>
      <c r="Q197" s="1" t="s">
        <v>78</v>
      </c>
      <c r="R197" s="1" t="s">
        <v>35</v>
      </c>
      <c r="S197" s="1" t="s">
        <v>36</v>
      </c>
      <c r="T197" s="1" t="s">
        <v>36</v>
      </c>
      <c r="U197">
        <v>4.8</v>
      </c>
      <c r="V197" t="s">
        <v>56</v>
      </c>
      <c r="W197">
        <v>4</v>
      </c>
      <c r="X197" s="1" t="s">
        <v>63</v>
      </c>
    </row>
    <row r="198" spans="1:24" x14ac:dyDescent="0.55000000000000004">
      <c r="A198" s="1" t="s">
        <v>282</v>
      </c>
      <c r="B198" s="1" t="s">
        <v>83</v>
      </c>
      <c r="C198">
        <v>45</v>
      </c>
      <c r="D198" s="1" t="s">
        <v>26</v>
      </c>
      <c r="E198" s="1" t="s">
        <v>84</v>
      </c>
      <c r="F198" s="1" t="s">
        <v>85</v>
      </c>
      <c r="G198" s="1" t="s">
        <v>29</v>
      </c>
      <c r="H198" s="1" t="s">
        <v>30</v>
      </c>
      <c r="I198" s="1" t="s">
        <v>53</v>
      </c>
      <c r="J198" s="1" t="s">
        <v>54</v>
      </c>
      <c r="K198" s="1" t="s">
        <v>33</v>
      </c>
      <c r="L198" s="2">
        <v>45755</v>
      </c>
      <c r="M198" s="2">
        <v>45778</v>
      </c>
      <c r="N198">
        <v>1841896</v>
      </c>
      <c r="O198">
        <v>75389</v>
      </c>
      <c r="P198">
        <v>1766507</v>
      </c>
      <c r="Q198" s="1" t="s">
        <v>66</v>
      </c>
      <c r="R198" s="1" t="s">
        <v>109</v>
      </c>
      <c r="S198" s="1" t="s">
        <v>37</v>
      </c>
      <c r="T198" s="1" t="s">
        <v>37</v>
      </c>
      <c r="U198">
        <v>3.3</v>
      </c>
      <c r="V198" t="s">
        <v>38</v>
      </c>
      <c r="W198">
        <v>5</v>
      </c>
      <c r="X198" s="1" t="s">
        <v>86</v>
      </c>
    </row>
    <row r="199" spans="1:24" x14ac:dyDescent="0.55000000000000004">
      <c r="A199" s="1" t="s">
        <v>283</v>
      </c>
      <c r="B199" s="1" t="s">
        <v>83</v>
      </c>
      <c r="C199">
        <v>21</v>
      </c>
      <c r="D199" s="1" t="s">
        <v>26</v>
      </c>
      <c r="E199" s="1" t="s">
        <v>90</v>
      </c>
      <c r="F199" s="1" t="s">
        <v>44</v>
      </c>
      <c r="G199" s="1" t="s">
        <v>29</v>
      </c>
      <c r="H199" s="1" t="s">
        <v>65</v>
      </c>
      <c r="I199" s="1" t="s">
        <v>59</v>
      </c>
      <c r="J199" s="1" t="s">
        <v>54</v>
      </c>
      <c r="K199" s="1" t="s">
        <v>46</v>
      </c>
      <c r="L199" s="2">
        <v>46018</v>
      </c>
      <c r="M199" s="2">
        <v>46061</v>
      </c>
      <c r="N199">
        <v>1662691</v>
      </c>
      <c r="O199">
        <v>45134</v>
      </c>
      <c r="P199">
        <v>1617557</v>
      </c>
      <c r="Q199" s="1" t="s">
        <v>66</v>
      </c>
      <c r="R199" s="1" t="s">
        <v>79</v>
      </c>
      <c r="S199" s="1" t="s">
        <v>37</v>
      </c>
      <c r="T199" s="1" t="s">
        <v>37</v>
      </c>
      <c r="U199">
        <v>3.1</v>
      </c>
      <c r="V199" t="s">
        <v>38</v>
      </c>
      <c r="W199">
        <v>2</v>
      </c>
      <c r="X199" s="1" t="s">
        <v>107</v>
      </c>
    </row>
    <row r="200" spans="1:24" x14ac:dyDescent="0.55000000000000004">
      <c r="A200" s="1" t="s">
        <v>284</v>
      </c>
      <c r="B200" s="1" t="s">
        <v>105</v>
      </c>
      <c r="C200">
        <v>26</v>
      </c>
      <c r="D200" s="1" t="s">
        <v>26</v>
      </c>
      <c r="E200" s="1" t="s">
        <v>52</v>
      </c>
      <c r="F200" s="1" t="s">
        <v>44</v>
      </c>
      <c r="G200" s="1" t="s">
        <v>29</v>
      </c>
      <c r="H200" s="1" t="s">
        <v>30</v>
      </c>
      <c r="I200" s="1" t="s">
        <v>31</v>
      </c>
      <c r="J200" s="1" t="s">
        <v>54</v>
      </c>
      <c r="K200" s="1" t="s">
        <v>46</v>
      </c>
      <c r="L200" s="2">
        <v>45804</v>
      </c>
      <c r="M200" s="2">
        <v>45830</v>
      </c>
      <c r="N200">
        <v>1348293</v>
      </c>
      <c r="O200">
        <v>20020</v>
      </c>
      <c r="P200">
        <v>1328273</v>
      </c>
      <c r="Q200" s="1" t="s">
        <v>55</v>
      </c>
      <c r="R200" s="1" t="s">
        <v>109</v>
      </c>
      <c r="S200" s="1" t="s">
        <v>37</v>
      </c>
      <c r="T200" s="1" t="s">
        <v>37</v>
      </c>
      <c r="U200">
        <v>4.0999999999999996</v>
      </c>
      <c r="V200" t="s">
        <v>38</v>
      </c>
      <c r="W200">
        <v>6</v>
      </c>
      <c r="X200" s="1" t="s">
        <v>68</v>
      </c>
    </row>
    <row r="201" spans="1:24" x14ac:dyDescent="0.55000000000000004">
      <c r="A201" s="1" t="s">
        <v>285</v>
      </c>
      <c r="B201" s="1" t="s">
        <v>41</v>
      </c>
      <c r="C201">
        <v>33</v>
      </c>
      <c r="D201" s="1" t="s">
        <v>42</v>
      </c>
      <c r="E201" s="1" t="s">
        <v>84</v>
      </c>
      <c r="F201" s="1" t="s">
        <v>85</v>
      </c>
      <c r="G201" s="1" t="s">
        <v>29</v>
      </c>
      <c r="H201" s="1" t="s">
        <v>65</v>
      </c>
      <c r="I201" s="1" t="s">
        <v>53</v>
      </c>
      <c r="J201" s="1" t="s">
        <v>32</v>
      </c>
      <c r="K201" s="1" t="s">
        <v>46</v>
      </c>
      <c r="L201" s="2">
        <v>46142</v>
      </c>
      <c r="M201" s="2">
        <v>46166</v>
      </c>
      <c r="N201">
        <v>1800524</v>
      </c>
      <c r="O201">
        <v>54055</v>
      </c>
      <c r="P201">
        <v>1746469</v>
      </c>
      <c r="Q201" s="1" t="s">
        <v>78</v>
      </c>
      <c r="R201" s="1" t="s">
        <v>79</v>
      </c>
      <c r="S201" s="1" t="s">
        <v>36</v>
      </c>
      <c r="T201" s="1" t="s">
        <v>37</v>
      </c>
      <c r="U201">
        <v>4.5999999999999996</v>
      </c>
      <c r="V201" t="s">
        <v>38</v>
      </c>
      <c r="W201">
        <v>5</v>
      </c>
      <c r="X201" s="1" t="s">
        <v>86</v>
      </c>
    </row>
    <row r="202" spans="1:24" x14ac:dyDescent="0.55000000000000004">
      <c r="A202" s="1" t="s">
        <v>286</v>
      </c>
      <c r="B202" s="1" t="s">
        <v>105</v>
      </c>
      <c r="C202">
        <v>37</v>
      </c>
      <c r="D202" s="1" t="s">
        <v>42</v>
      </c>
      <c r="E202" s="1" t="s">
        <v>27</v>
      </c>
      <c r="F202" s="1" t="s">
        <v>28</v>
      </c>
      <c r="G202" s="1" t="s">
        <v>29</v>
      </c>
      <c r="H202" s="1" t="s">
        <v>77</v>
      </c>
      <c r="I202" s="1" t="s">
        <v>45</v>
      </c>
      <c r="J202" s="1" t="s">
        <v>54</v>
      </c>
      <c r="K202" s="1" t="s">
        <v>46</v>
      </c>
      <c r="L202" s="2">
        <v>45949</v>
      </c>
      <c r="M202" s="2">
        <v>45987</v>
      </c>
      <c r="N202">
        <v>1535485</v>
      </c>
      <c r="O202">
        <v>51914</v>
      </c>
      <c r="P202">
        <v>1483571</v>
      </c>
      <c r="Q202" s="1" t="s">
        <v>66</v>
      </c>
      <c r="R202" s="1" t="s">
        <v>35</v>
      </c>
      <c r="S202" s="1" t="s">
        <v>37</v>
      </c>
      <c r="T202" s="1" t="s">
        <v>37</v>
      </c>
      <c r="U202">
        <v>4.0999999999999996</v>
      </c>
      <c r="V202" t="s">
        <v>38</v>
      </c>
      <c r="W202">
        <v>11</v>
      </c>
      <c r="X202" s="1" t="s">
        <v>60</v>
      </c>
    </row>
    <row r="203" spans="1:24" x14ac:dyDescent="0.55000000000000004">
      <c r="A203" s="1" t="s">
        <v>287</v>
      </c>
      <c r="B203" s="1" t="s">
        <v>25</v>
      </c>
      <c r="C203">
        <v>51</v>
      </c>
      <c r="D203" s="1" t="s">
        <v>26</v>
      </c>
      <c r="E203" s="1" t="s">
        <v>27</v>
      </c>
      <c r="F203" s="1" t="s">
        <v>28</v>
      </c>
      <c r="G203" s="1" t="s">
        <v>29</v>
      </c>
      <c r="H203" s="1" t="s">
        <v>77</v>
      </c>
      <c r="I203" s="1" t="s">
        <v>53</v>
      </c>
      <c r="J203" s="1" t="s">
        <v>32</v>
      </c>
      <c r="K203" s="1" t="s">
        <v>33</v>
      </c>
      <c r="L203" s="2">
        <v>46163</v>
      </c>
      <c r="M203" s="2">
        <v>46198</v>
      </c>
      <c r="N203">
        <v>1420193</v>
      </c>
      <c r="O203">
        <v>54930</v>
      </c>
      <c r="P203">
        <v>1365263</v>
      </c>
      <c r="Q203" s="1" t="s">
        <v>34</v>
      </c>
      <c r="R203" s="1" t="s">
        <v>67</v>
      </c>
      <c r="S203" s="1" t="s">
        <v>36</v>
      </c>
      <c r="T203" s="1" t="s">
        <v>37</v>
      </c>
      <c r="U203">
        <v>4.4000000000000004</v>
      </c>
      <c r="V203" t="s">
        <v>38</v>
      </c>
      <c r="W203">
        <v>6</v>
      </c>
      <c r="X203" s="1" t="s">
        <v>68</v>
      </c>
    </row>
    <row r="204" spans="1:24" x14ac:dyDescent="0.55000000000000004">
      <c r="A204" s="1" t="s">
        <v>288</v>
      </c>
      <c r="B204" s="1" t="s">
        <v>25</v>
      </c>
      <c r="C204">
        <v>25</v>
      </c>
      <c r="D204" s="1" t="s">
        <v>26</v>
      </c>
      <c r="E204" s="1" t="s">
        <v>84</v>
      </c>
      <c r="F204" s="1" t="s">
        <v>85</v>
      </c>
      <c r="G204" s="1" t="s">
        <v>29</v>
      </c>
      <c r="H204" s="1" t="s">
        <v>30</v>
      </c>
      <c r="I204" s="1" t="s">
        <v>59</v>
      </c>
      <c r="J204" s="1" t="s">
        <v>54</v>
      </c>
      <c r="K204" s="1" t="s">
        <v>46</v>
      </c>
      <c r="L204" s="2">
        <v>45747</v>
      </c>
      <c r="M204" s="2">
        <v>45756</v>
      </c>
      <c r="N204">
        <v>1542667</v>
      </c>
      <c r="O204">
        <v>59657</v>
      </c>
      <c r="P204">
        <v>1483010</v>
      </c>
      <c r="Q204" s="1" t="s">
        <v>55</v>
      </c>
      <c r="R204" s="1" t="s">
        <v>109</v>
      </c>
      <c r="S204" s="1" t="s">
        <v>36</v>
      </c>
      <c r="T204" s="1" t="s">
        <v>37</v>
      </c>
      <c r="U204">
        <v>4.9000000000000004</v>
      </c>
      <c r="V204" t="s">
        <v>91</v>
      </c>
      <c r="W204">
        <v>4</v>
      </c>
      <c r="X204" s="1" t="s">
        <v>63</v>
      </c>
    </row>
    <row r="205" spans="1:24" x14ac:dyDescent="0.55000000000000004">
      <c r="A205" s="1" t="s">
        <v>289</v>
      </c>
      <c r="B205" s="1" t="s">
        <v>62</v>
      </c>
      <c r="C205">
        <v>48</v>
      </c>
      <c r="D205" s="1" t="s">
        <v>26</v>
      </c>
      <c r="E205" s="1" t="s">
        <v>52</v>
      </c>
      <c r="F205" s="1" t="s">
        <v>44</v>
      </c>
      <c r="G205" s="1" t="s">
        <v>29</v>
      </c>
      <c r="H205" s="1" t="s">
        <v>30</v>
      </c>
      <c r="I205" s="1" t="s">
        <v>31</v>
      </c>
      <c r="J205" s="1" t="s">
        <v>32</v>
      </c>
      <c r="K205" s="1" t="s">
        <v>46</v>
      </c>
      <c r="L205" s="2">
        <v>45968</v>
      </c>
      <c r="M205" s="2">
        <v>45985</v>
      </c>
      <c r="N205">
        <v>1619694</v>
      </c>
      <c r="O205">
        <v>37783</v>
      </c>
      <c r="P205">
        <v>1581911</v>
      </c>
      <c r="Q205" s="1" t="s">
        <v>34</v>
      </c>
      <c r="R205" s="1" t="s">
        <v>48</v>
      </c>
      <c r="S205" s="1" t="s">
        <v>37</v>
      </c>
      <c r="T205" s="1" t="s">
        <v>37</v>
      </c>
      <c r="U205">
        <v>4.3</v>
      </c>
      <c r="V205" t="s">
        <v>56</v>
      </c>
      <c r="W205">
        <v>11</v>
      </c>
      <c r="X205" s="1" t="s">
        <v>60</v>
      </c>
    </row>
    <row r="206" spans="1:24" x14ac:dyDescent="0.55000000000000004">
      <c r="A206" s="1" t="s">
        <v>290</v>
      </c>
      <c r="B206" s="1" t="s">
        <v>70</v>
      </c>
      <c r="C206">
        <v>35</v>
      </c>
      <c r="D206" s="1" t="s">
        <v>42</v>
      </c>
      <c r="E206" s="1" t="s">
        <v>27</v>
      </c>
      <c r="F206" s="1" t="s">
        <v>28</v>
      </c>
      <c r="G206" s="1" t="s">
        <v>29</v>
      </c>
      <c r="H206" s="1" t="s">
        <v>65</v>
      </c>
      <c r="I206" s="1" t="s">
        <v>53</v>
      </c>
      <c r="J206" s="1" t="s">
        <v>32</v>
      </c>
      <c r="K206" s="1" t="s">
        <v>33</v>
      </c>
      <c r="L206" s="2">
        <v>46107</v>
      </c>
      <c r="M206" s="2">
        <v>46133</v>
      </c>
      <c r="N206">
        <v>1875475</v>
      </c>
      <c r="O206">
        <v>38705</v>
      </c>
      <c r="P206">
        <v>1836770</v>
      </c>
      <c r="Q206" s="1" t="s">
        <v>66</v>
      </c>
      <c r="R206" s="1" t="s">
        <v>35</v>
      </c>
      <c r="S206" s="1" t="s">
        <v>36</v>
      </c>
      <c r="T206" s="1" t="s">
        <v>36</v>
      </c>
      <c r="U206">
        <v>3.6</v>
      </c>
      <c r="V206" t="s">
        <v>38</v>
      </c>
      <c r="W206">
        <v>4</v>
      </c>
      <c r="X206" s="1" t="s">
        <v>63</v>
      </c>
    </row>
    <row r="207" spans="1:24" x14ac:dyDescent="0.55000000000000004">
      <c r="A207" s="1" t="s">
        <v>291</v>
      </c>
      <c r="B207" s="1" t="s">
        <v>25</v>
      </c>
      <c r="C207">
        <v>35</v>
      </c>
      <c r="D207" s="1" t="s">
        <v>42</v>
      </c>
      <c r="E207" s="1" t="s">
        <v>71</v>
      </c>
      <c r="F207" s="1" t="s">
        <v>72</v>
      </c>
      <c r="G207" s="1" t="s">
        <v>29</v>
      </c>
      <c r="H207" s="1" t="s">
        <v>77</v>
      </c>
      <c r="I207" s="1" t="s">
        <v>31</v>
      </c>
      <c r="J207" s="1" t="s">
        <v>32</v>
      </c>
      <c r="K207" s="1" t="s">
        <v>46</v>
      </c>
      <c r="L207" s="2">
        <v>46059</v>
      </c>
      <c r="M207" s="2">
        <v>46104</v>
      </c>
      <c r="N207">
        <v>1629134</v>
      </c>
      <c r="O207">
        <v>29465</v>
      </c>
      <c r="P207">
        <v>1599669</v>
      </c>
      <c r="Q207" s="1" t="s">
        <v>78</v>
      </c>
      <c r="R207" s="1" t="s">
        <v>67</v>
      </c>
      <c r="S207" s="1" t="s">
        <v>37</v>
      </c>
      <c r="T207" s="1" t="s">
        <v>36</v>
      </c>
      <c r="U207">
        <v>3.3</v>
      </c>
      <c r="V207" t="s">
        <v>38</v>
      </c>
      <c r="W207">
        <v>3</v>
      </c>
      <c r="X207" s="1" t="s">
        <v>96</v>
      </c>
    </row>
    <row r="208" spans="1:24" x14ac:dyDescent="0.55000000000000004">
      <c r="A208" s="1" t="s">
        <v>292</v>
      </c>
      <c r="B208" s="1" t="s">
        <v>62</v>
      </c>
      <c r="C208">
        <v>35</v>
      </c>
      <c r="D208" s="1" t="s">
        <v>42</v>
      </c>
      <c r="E208" s="1" t="s">
        <v>84</v>
      </c>
      <c r="F208" s="1" t="s">
        <v>85</v>
      </c>
      <c r="G208" s="1" t="s">
        <v>29</v>
      </c>
      <c r="H208" s="1" t="s">
        <v>30</v>
      </c>
      <c r="I208" s="1" t="s">
        <v>59</v>
      </c>
      <c r="J208" s="1" t="s">
        <v>54</v>
      </c>
      <c r="K208" s="1" t="s">
        <v>46</v>
      </c>
      <c r="L208" s="2">
        <v>45799</v>
      </c>
      <c r="M208" s="2">
        <v>45841</v>
      </c>
      <c r="N208">
        <v>1899803</v>
      </c>
      <c r="O208">
        <v>64815</v>
      </c>
      <c r="P208">
        <v>1834988</v>
      </c>
      <c r="Q208" s="1" t="s">
        <v>55</v>
      </c>
      <c r="R208" s="1" t="s">
        <v>48</v>
      </c>
      <c r="S208" s="1" t="s">
        <v>36</v>
      </c>
      <c r="T208" s="1" t="s">
        <v>36</v>
      </c>
      <c r="U208">
        <v>3.7</v>
      </c>
      <c r="V208" t="s">
        <v>38</v>
      </c>
      <c r="W208">
        <v>7</v>
      </c>
      <c r="X208" s="1" t="s">
        <v>39</v>
      </c>
    </row>
    <row r="209" spans="1:24" x14ac:dyDescent="0.55000000000000004">
      <c r="A209" s="1" t="s">
        <v>293</v>
      </c>
      <c r="B209" s="1" t="s">
        <v>93</v>
      </c>
      <c r="C209">
        <v>51</v>
      </c>
      <c r="D209" s="1" t="s">
        <v>42</v>
      </c>
      <c r="E209" s="1" t="s">
        <v>84</v>
      </c>
      <c r="F209" s="1" t="s">
        <v>85</v>
      </c>
      <c r="G209" s="1" t="s">
        <v>29</v>
      </c>
      <c r="H209" s="1" t="s">
        <v>65</v>
      </c>
      <c r="I209" s="1" t="s">
        <v>45</v>
      </c>
      <c r="J209" s="1" t="s">
        <v>54</v>
      </c>
      <c r="K209" s="1" t="s">
        <v>46</v>
      </c>
      <c r="L209" s="2">
        <v>46159</v>
      </c>
      <c r="M209" s="2">
        <v>46179</v>
      </c>
      <c r="N209">
        <v>1729968</v>
      </c>
      <c r="O209">
        <v>53266</v>
      </c>
      <c r="P209">
        <v>1676702</v>
      </c>
      <c r="Q209" s="1" t="s">
        <v>66</v>
      </c>
      <c r="R209" s="1" t="s">
        <v>109</v>
      </c>
      <c r="S209" s="1" t="s">
        <v>37</v>
      </c>
      <c r="T209" s="1" t="s">
        <v>37</v>
      </c>
      <c r="U209">
        <v>3.7</v>
      </c>
      <c r="V209" t="s">
        <v>56</v>
      </c>
      <c r="W209">
        <v>6</v>
      </c>
      <c r="X209" s="1" t="s">
        <v>68</v>
      </c>
    </row>
    <row r="210" spans="1:24" x14ac:dyDescent="0.55000000000000004">
      <c r="A210" s="1" t="s">
        <v>294</v>
      </c>
      <c r="B210" s="1" t="s">
        <v>62</v>
      </c>
      <c r="C210">
        <v>52</v>
      </c>
      <c r="D210" s="1" t="s">
        <v>42</v>
      </c>
      <c r="E210" s="1" t="s">
        <v>43</v>
      </c>
      <c r="F210" s="1" t="s">
        <v>44</v>
      </c>
      <c r="G210" s="1" t="s">
        <v>29</v>
      </c>
      <c r="H210" s="1" t="s">
        <v>65</v>
      </c>
      <c r="I210" s="1" t="s">
        <v>74</v>
      </c>
      <c r="J210" s="1" t="s">
        <v>32</v>
      </c>
      <c r="K210" s="1" t="s">
        <v>46</v>
      </c>
      <c r="L210" s="2">
        <v>46018</v>
      </c>
      <c r="M210" s="2">
        <v>46034</v>
      </c>
      <c r="N210">
        <v>1773863</v>
      </c>
      <c r="O210">
        <v>21053</v>
      </c>
      <c r="P210">
        <v>1752810</v>
      </c>
      <c r="Q210" s="1" t="s">
        <v>47</v>
      </c>
      <c r="R210" s="1" t="s">
        <v>109</v>
      </c>
      <c r="S210" s="1" t="s">
        <v>36</v>
      </c>
      <c r="T210" s="1" t="s">
        <v>36</v>
      </c>
      <c r="U210">
        <v>3.9</v>
      </c>
      <c r="V210" t="s">
        <v>56</v>
      </c>
      <c r="W210">
        <v>1</v>
      </c>
      <c r="X210" s="1" t="s">
        <v>88</v>
      </c>
    </row>
    <row r="211" spans="1:24" x14ac:dyDescent="0.55000000000000004">
      <c r="A211" s="1" t="s">
        <v>295</v>
      </c>
      <c r="B211" s="1" t="s">
        <v>81</v>
      </c>
      <c r="C211">
        <v>48</v>
      </c>
      <c r="D211" s="1" t="s">
        <v>26</v>
      </c>
      <c r="E211" s="1" t="s">
        <v>71</v>
      </c>
      <c r="F211" s="1" t="s">
        <v>72</v>
      </c>
      <c r="G211" s="1" t="s">
        <v>29</v>
      </c>
      <c r="H211" s="1" t="s">
        <v>65</v>
      </c>
      <c r="I211" s="1" t="s">
        <v>45</v>
      </c>
      <c r="J211" s="1" t="s">
        <v>54</v>
      </c>
      <c r="K211" s="1" t="s">
        <v>33</v>
      </c>
      <c r="L211" s="2">
        <v>45884</v>
      </c>
      <c r="M211" s="2">
        <v>45918</v>
      </c>
      <c r="N211">
        <v>1625433</v>
      </c>
      <c r="O211">
        <v>39785</v>
      </c>
      <c r="P211">
        <v>1585648</v>
      </c>
      <c r="Q211" s="1" t="s">
        <v>34</v>
      </c>
      <c r="R211" s="1" t="s">
        <v>48</v>
      </c>
      <c r="S211" s="1" t="s">
        <v>36</v>
      </c>
      <c r="T211" s="1" t="s">
        <v>36</v>
      </c>
      <c r="U211">
        <v>4.9000000000000004</v>
      </c>
      <c r="V211" t="s">
        <v>38</v>
      </c>
      <c r="W211">
        <v>9</v>
      </c>
      <c r="X211" s="1" t="s">
        <v>103</v>
      </c>
    </row>
    <row r="212" spans="1:24" x14ac:dyDescent="0.55000000000000004">
      <c r="A212" s="1" t="s">
        <v>296</v>
      </c>
      <c r="B212" s="1" t="s">
        <v>81</v>
      </c>
      <c r="C212">
        <v>47</v>
      </c>
      <c r="D212" s="1" t="s">
        <v>42</v>
      </c>
      <c r="E212" s="1" t="s">
        <v>84</v>
      </c>
      <c r="F212" s="1" t="s">
        <v>85</v>
      </c>
      <c r="G212" s="1" t="s">
        <v>29</v>
      </c>
      <c r="H212" s="1" t="s">
        <v>30</v>
      </c>
      <c r="I212" s="1" t="s">
        <v>74</v>
      </c>
      <c r="J212" s="1" t="s">
        <v>54</v>
      </c>
      <c r="K212" s="1" t="s">
        <v>46</v>
      </c>
      <c r="L212" s="2">
        <v>45740</v>
      </c>
      <c r="M212" s="2">
        <v>45763</v>
      </c>
      <c r="N212">
        <v>1893383</v>
      </c>
      <c r="O212">
        <v>19870</v>
      </c>
      <c r="P212">
        <v>1873513</v>
      </c>
      <c r="Q212" s="1" t="s">
        <v>66</v>
      </c>
      <c r="R212" s="1" t="s">
        <v>109</v>
      </c>
      <c r="S212" s="1" t="s">
        <v>37</v>
      </c>
      <c r="T212" s="1" t="s">
        <v>37</v>
      </c>
      <c r="U212">
        <v>4.3</v>
      </c>
      <c r="V212" t="s">
        <v>38</v>
      </c>
      <c r="W212">
        <v>4</v>
      </c>
      <c r="X212" s="1" t="s">
        <v>63</v>
      </c>
    </row>
    <row r="213" spans="1:24" x14ac:dyDescent="0.55000000000000004">
      <c r="A213" s="1" t="s">
        <v>297</v>
      </c>
      <c r="B213" s="1" t="s">
        <v>93</v>
      </c>
      <c r="C213">
        <v>42</v>
      </c>
      <c r="D213" s="1" t="s">
        <v>42</v>
      </c>
      <c r="E213" s="1" t="s">
        <v>43</v>
      </c>
      <c r="F213" s="1" t="s">
        <v>44</v>
      </c>
      <c r="G213" s="1" t="s">
        <v>29</v>
      </c>
      <c r="H213" s="1" t="s">
        <v>30</v>
      </c>
      <c r="I213" s="1" t="s">
        <v>31</v>
      </c>
      <c r="J213" s="1" t="s">
        <v>54</v>
      </c>
      <c r="K213" s="1" t="s">
        <v>46</v>
      </c>
      <c r="L213" s="2">
        <v>46158</v>
      </c>
      <c r="M213" s="2">
        <v>46180</v>
      </c>
      <c r="N213">
        <v>1650769</v>
      </c>
      <c r="O213">
        <v>20214</v>
      </c>
      <c r="P213">
        <v>1630555</v>
      </c>
      <c r="Q213" s="1" t="s">
        <v>78</v>
      </c>
      <c r="R213" s="1" t="s">
        <v>109</v>
      </c>
      <c r="S213" s="1" t="s">
        <v>36</v>
      </c>
      <c r="T213" s="1" t="s">
        <v>36</v>
      </c>
      <c r="U213">
        <v>4.9000000000000004</v>
      </c>
      <c r="V213" t="s">
        <v>38</v>
      </c>
      <c r="W213">
        <v>6</v>
      </c>
      <c r="X213" s="1" t="s">
        <v>68</v>
      </c>
    </row>
    <row r="214" spans="1:24" x14ac:dyDescent="0.55000000000000004">
      <c r="A214" s="1" t="s">
        <v>298</v>
      </c>
      <c r="B214" s="1" t="s">
        <v>98</v>
      </c>
      <c r="C214">
        <v>57</v>
      </c>
      <c r="D214" s="1" t="s">
        <v>26</v>
      </c>
      <c r="E214" s="1" t="s">
        <v>71</v>
      </c>
      <c r="F214" s="1" t="s">
        <v>72</v>
      </c>
      <c r="G214" s="1" t="s">
        <v>29</v>
      </c>
      <c r="H214" s="1" t="s">
        <v>65</v>
      </c>
      <c r="I214" s="1" t="s">
        <v>53</v>
      </c>
      <c r="J214" s="1" t="s">
        <v>32</v>
      </c>
      <c r="K214" s="1" t="s">
        <v>33</v>
      </c>
      <c r="L214" s="2">
        <v>46025</v>
      </c>
      <c r="M214" s="2">
        <v>46042</v>
      </c>
      <c r="N214">
        <v>1612133</v>
      </c>
      <c r="O214">
        <v>62557</v>
      </c>
      <c r="P214">
        <v>1549576</v>
      </c>
      <c r="Q214" s="1" t="s">
        <v>78</v>
      </c>
      <c r="R214" s="1" t="s">
        <v>35</v>
      </c>
      <c r="S214" s="1" t="s">
        <v>37</v>
      </c>
      <c r="T214" s="1" t="s">
        <v>36</v>
      </c>
      <c r="U214">
        <v>4.5999999999999996</v>
      </c>
      <c r="V214" t="s">
        <v>56</v>
      </c>
      <c r="W214">
        <v>1</v>
      </c>
      <c r="X214" s="1" t="s">
        <v>88</v>
      </c>
    </row>
    <row r="215" spans="1:24" x14ac:dyDescent="0.55000000000000004">
      <c r="A215" s="1" t="s">
        <v>299</v>
      </c>
      <c r="B215" s="1" t="s">
        <v>93</v>
      </c>
      <c r="C215">
        <v>28</v>
      </c>
      <c r="D215" s="1" t="s">
        <v>42</v>
      </c>
      <c r="E215" s="1" t="s">
        <v>84</v>
      </c>
      <c r="F215" s="1" t="s">
        <v>85</v>
      </c>
      <c r="G215" s="1" t="s">
        <v>29</v>
      </c>
      <c r="H215" s="1" t="s">
        <v>65</v>
      </c>
      <c r="I215" s="1" t="s">
        <v>45</v>
      </c>
      <c r="J215" s="1" t="s">
        <v>32</v>
      </c>
      <c r="K215" s="1" t="s">
        <v>46</v>
      </c>
      <c r="L215" s="2">
        <v>46090</v>
      </c>
      <c r="M215" s="2">
        <v>46133</v>
      </c>
      <c r="N215">
        <v>1661693</v>
      </c>
      <c r="O215">
        <v>47131</v>
      </c>
      <c r="P215">
        <v>1614562</v>
      </c>
      <c r="Q215" s="1" t="s">
        <v>47</v>
      </c>
      <c r="R215" s="1" t="s">
        <v>35</v>
      </c>
      <c r="S215" s="1" t="s">
        <v>37</v>
      </c>
      <c r="T215" s="1" t="s">
        <v>36</v>
      </c>
      <c r="U215">
        <v>4.5999999999999996</v>
      </c>
      <c r="V215" t="s">
        <v>38</v>
      </c>
      <c r="W215">
        <v>4</v>
      </c>
      <c r="X215" s="1" t="s">
        <v>63</v>
      </c>
    </row>
    <row r="216" spans="1:24" x14ac:dyDescent="0.55000000000000004">
      <c r="A216" s="1" t="s">
        <v>300</v>
      </c>
      <c r="B216" s="1" t="s">
        <v>41</v>
      </c>
      <c r="C216">
        <v>24</v>
      </c>
      <c r="D216" s="1" t="s">
        <v>42</v>
      </c>
      <c r="E216" s="1" t="s">
        <v>52</v>
      </c>
      <c r="F216" s="1" t="s">
        <v>44</v>
      </c>
      <c r="G216" s="1" t="s">
        <v>29</v>
      </c>
      <c r="H216" s="1" t="s">
        <v>65</v>
      </c>
      <c r="I216" s="1" t="s">
        <v>74</v>
      </c>
      <c r="J216" s="1" t="s">
        <v>32</v>
      </c>
      <c r="K216" s="1" t="s">
        <v>46</v>
      </c>
      <c r="L216" s="2">
        <v>45676</v>
      </c>
      <c r="M216" s="2">
        <v>45684</v>
      </c>
      <c r="N216">
        <v>1446835</v>
      </c>
      <c r="O216">
        <v>35109</v>
      </c>
      <c r="P216">
        <v>1411726</v>
      </c>
      <c r="Q216" s="1" t="s">
        <v>78</v>
      </c>
      <c r="R216" s="1" t="s">
        <v>35</v>
      </c>
      <c r="S216" s="1" t="s">
        <v>36</v>
      </c>
      <c r="T216" s="1" t="s">
        <v>36</v>
      </c>
      <c r="U216">
        <v>4.7</v>
      </c>
      <c r="V216" t="s">
        <v>91</v>
      </c>
      <c r="W216">
        <v>1</v>
      </c>
      <c r="X216" s="1" t="s">
        <v>88</v>
      </c>
    </row>
    <row r="217" spans="1:24" x14ac:dyDescent="0.55000000000000004">
      <c r="A217" s="1" t="s">
        <v>301</v>
      </c>
      <c r="B217" s="1" t="s">
        <v>81</v>
      </c>
      <c r="C217">
        <v>21</v>
      </c>
      <c r="D217" s="1" t="s">
        <v>26</v>
      </c>
      <c r="E217" s="1" t="s">
        <v>43</v>
      </c>
      <c r="F217" s="1" t="s">
        <v>44</v>
      </c>
      <c r="G217" s="1" t="s">
        <v>29</v>
      </c>
      <c r="H217" s="1" t="s">
        <v>77</v>
      </c>
      <c r="I217" s="1" t="s">
        <v>59</v>
      </c>
      <c r="J217" s="1" t="s">
        <v>54</v>
      </c>
      <c r="K217" s="1" t="s">
        <v>46</v>
      </c>
      <c r="L217" s="2">
        <v>45682</v>
      </c>
      <c r="M217" s="2">
        <v>45716</v>
      </c>
      <c r="N217">
        <v>1657890</v>
      </c>
      <c r="O217">
        <v>62730</v>
      </c>
      <c r="P217">
        <v>1595160</v>
      </c>
      <c r="Q217" s="1" t="s">
        <v>55</v>
      </c>
      <c r="R217" s="1" t="s">
        <v>35</v>
      </c>
      <c r="S217" s="1" t="s">
        <v>37</v>
      </c>
      <c r="T217" s="1" t="s">
        <v>36</v>
      </c>
      <c r="U217">
        <v>4.2</v>
      </c>
      <c r="V217" t="s">
        <v>38</v>
      </c>
      <c r="W217">
        <v>2</v>
      </c>
      <c r="X217" s="1" t="s">
        <v>107</v>
      </c>
    </row>
    <row r="218" spans="1:24" x14ac:dyDescent="0.55000000000000004">
      <c r="A218" s="1" t="s">
        <v>302</v>
      </c>
      <c r="B218" s="1" t="s">
        <v>70</v>
      </c>
      <c r="C218">
        <v>22</v>
      </c>
      <c r="D218" s="1" t="s">
        <v>42</v>
      </c>
      <c r="E218" s="1" t="s">
        <v>43</v>
      </c>
      <c r="F218" s="1" t="s">
        <v>44</v>
      </c>
      <c r="G218" s="1" t="s">
        <v>29</v>
      </c>
      <c r="H218" s="1" t="s">
        <v>77</v>
      </c>
      <c r="I218" s="1" t="s">
        <v>74</v>
      </c>
      <c r="J218" s="1" t="s">
        <v>32</v>
      </c>
      <c r="K218" s="1" t="s">
        <v>46</v>
      </c>
      <c r="L218" s="2">
        <v>46107</v>
      </c>
      <c r="M218" s="2">
        <v>46120</v>
      </c>
      <c r="N218">
        <v>1333238</v>
      </c>
      <c r="O218">
        <v>78720</v>
      </c>
      <c r="P218">
        <v>1254518</v>
      </c>
      <c r="Q218" s="1" t="s">
        <v>55</v>
      </c>
      <c r="R218" s="1" t="s">
        <v>35</v>
      </c>
      <c r="S218" s="1" t="s">
        <v>37</v>
      </c>
      <c r="T218" s="1" t="s">
        <v>37</v>
      </c>
      <c r="U218">
        <v>3.4</v>
      </c>
      <c r="V218" t="s">
        <v>56</v>
      </c>
      <c r="W218">
        <v>4</v>
      </c>
      <c r="X218" s="1" t="s">
        <v>63</v>
      </c>
    </row>
    <row r="219" spans="1:24" x14ac:dyDescent="0.55000000000000004">
      <c r="A219" s="1" t="s">
        <v>303</v>
      </c>
      <c r="B219" s="1" t="s">
        <v>41</v>
      </c>
      <c r="C219">
        <v>48</v>
      </c>
      <c r="D219" s="1" t="s">
        <v>42</v>
      </c>
      <c r="E219" s="1" t="s">
        <v>90</v>
      </c>
      <c r="F219" s="1" t="s">
        <v>44</v>
      </c>
      <c r="G219" s="1" t="s">
        <v>29</v>
      </c>
      <c r="H219" s="1" t="s">
        <v>65</v>
      </c>
      <c r="I219" s="1" t="s">
        <v>31</v>
      </c>
      <c r="J219" s="1" t="s">
        <v>54</v>
      </c>
      <c r="K219" s="1" t="s">
        <v>46</v>
      </c>
      <c r="L219" s="2">
        <v>45768</v>
      </c>
      <c r="M219" s="2">
        <v>45782</v>
      </c>
      <c r="N219">
        <v>1501642</v>
      </c>
      <c r="O219">
        <v>17604</v>
      </c>
      <c r="P219">
        <v>1484038</v>
      </c>
      <c r="Q219" s="1" t="s">
        <v>78</v>
      </c>
      <c r="R219" s="1" t="s">
        <v>79</v>
      </c>
      <c r="S219" s="1" t="s">
        <v>37</v>
      </c>
      <c r="T219" s="1" t="s">
        <v>37</v>
      </c>
      <c r="U219">
        <v>5</v>
      </c>
      <c r="V219" t="s">
        <v>56</v>
      </c>
      <c r="W219">
        <v>5</v>
      </c>
      <c r="X219" s="1" t="s">
        <v>86</v>
      </c>
    </row>
    <row r="220" spans="1:24" x14ac:dyDescent="0.55000000000000004">
      <c r="A220" s="1" t="s">
        <v>304</v>
      </c>
      <c r="B220" s="1" t="s">
        <v>105</v>
      </c>
      <c r="C220">
        <v>21</v>
      </c>
      <c r="D220" s="1" t="s">
        <v>42</v>
      </c>
      <c r="E220" s="1" t="s">
        <v>84</v>
      </c>
      <c r="F220" s="1" t="s">
        <v>85</v>
      </c>
      <c r="G220" s="1" t="s">
        <v>29</v>
      </c>
      <c r="H220" s="1" t="s">
        <v>30</v>
      </c>
      <c r="I220" s="1" t="s">
        <v>31</v>
      </c>
      <c r="J220" s="1" t="s">
        <v>32</v>
      </c>
      <c r="K220" s="1" t="s">
        <v>46</v>
      </c>
      <c r="L220" s="2">
        <v>45862</v>
      </c>
      <c r="M220" s="2">
        <v>45885</v>
      </c>
      <c r="N220">
        <v>1411649</v>
      </c>
      <c r="O220">
        <v>67947</v>
      </c>
      <c r="P220">
        <v>1343702</v>
      </c>
      <c r="Q220" s="1" t="s">
        <v>55</v>
      </c>
      <c r="R220" s="1" t="s">
        <v>67</v>
      </c>
      <c r="S220" s="1" t="s">
        <v>36</v>
      </c>
      <c r="T220" s="1" t="s">
        <v>36</v>
      </c>
      <c r="U220">
        <v>3.1</v>
      </c>
      <c r="V220" t="s">
        <v>38</v>
      </c>
      <c r="W220">
        <v>8</v>
      </c>
      <c r="X220" s="1" t="s">
        <v>57</v>
      </c>
    </row>
    <row r="221" spans="1:24" x14ac:dyDescent="0.55000000000000004">
      <c r="A221" s="1" t="s">
        <v>305</v>
      </c>
      <c r="B221" s="1" t="s">
        <v>93</v>
      </c>
      <c r="C221">
        <v>52</v>
      </c>
      <c r="D221" s="1" t="s">
        <v>26</v>
      </c>
      <c r="E221" s="1" t="s">
        <v>52</v>
      </c>
      <c r="F221" s="1" t="s">
        <v>44</v>
      </c>
      <c r="G221" s="1" t="s">
        <v>29</v>
      </c>
      <c r="H221" s="1" t="s">
        <v>65</v>
      </c>
      <c r="I221" s="1" t="s">
        <v>45</v>
      </c>
      <c r="J221" s="1" t="s">
        <v>32</v>
      </c>
      <c r="K221" s="1" t="s">
        <v>33</v>
      </c>
      <c r="L221" s="2">
        <v>45895</v>
      </c>
      <c r="M221" s="2">
        <v>45940</v>
      </c>
      <c r="N221">
        <v>1727605</v>
      </c>
      <c r="O221">
        <v>41937</v>
      </c>
      <c r="P221">
        <v>1685668</v>
      </c>
      <c r="Q221" s="1" t="s">
        <v>34</v>
      </c>
      <c r="R221" s="1" t="s">
        <v>35</v>
      </c>
      <c r="S221" s="1" t="s">
        <v>37</v>
      </c>
      <c r="T221" s="1" t="s">
        <v>36</v>
      </c>
      <c r="U221">
        <v>4.8</v>
      </c>
      <c r="V221" t="s">
        <v>38</v>
      </c>
      <c r="W221">
        <v>10</v>
      </c>
      <c r="X221" s="1" t="s">
        <v>75</v>
      </c>
    </row>
    <row r="222" spans="1:24" x14ac:dyDescent="0.55000000000000004">
      <c r="A222" s="1" t="s">
        <v>306</v>
      </c>
      <c r="B222" s="1" t="s">
        <v>41</v>
      </c>
      <c r="C222">
        <v>48</v>
      </c>
      <c r="D222" s="1" t="s">
        <v>42</v>
      </c>
      <c r="E222" s="1" t="s">
        <v>27</v>
      </c>
      <c r="F222" s="1" t="s">
        <v>28</v>
      </c>
      <c r="G222" s="1" t="s">
        <v>29</v>
      </c>
      <c r="H222" s="1" t="s">
        <v>65</v>
      </c>
      <c r="I222" s="1" t="s">
        <v>31</v>
      </c>
      <c r="J222" s="1" t="s">
        <v>32</v>
      </c>
      <c r="K222" s="1" t="s">
        <v>33</v>
      </c>
      <c r="L222" s="2">
        <v>45838</v>
      </c>
      <c r="M222" s="2">
        <v>45867</v>
      </c>
      <c r="N222">
        <v>1545308</v>
      </c>
      <c r="O222">
        <v>69442</v>
      </c>
      <c r="P222">
        <v>1475866</v>
      </c>
      <c r="Q222" s="1" t="s">
        <v>55</v>
      </c>
      <c r="R222" s="1" t="s">
        <v>109</v>
      </c>
      <c r="S222" s="1" t="s">
        <v>37</v>
      </c>
      <c r="T222" s="1" t="s">
        <v>36</v>
      </c>
      <c r="U222">
        <v>5</v>
      </c>
      <c r="V222" t="s">
        <v>38</v>
      </c>
      <c r="W222">
        <v>7</v>
      </c>
      <c r="X222" s="1" t="s">
        <v>39</v>
      </c>
    </row>
    <row r="223" spans="1:24" x14ac:dyDescent="0.55000000000000004">
      <c r="A223" s="1" t="s">
        <v>307</v>
      </c>
      <c r="B223" s="1" t="s">
        <v>25</v>
      </c>
      <c r="C223">
        <v>28</v>
      </c>
      <c r="D223" s="1" t="s">
        <v>26</v>
      </c>
      <c r="E223" s="1" t="s">
        <v>84</v>
      </c>
      <c r="F223" s="1" t="s">
        <v>85</v>
      </c>
      <c r="G223" s="1" t="s">
        <v>29</v>
      </c>
      <c r="H223" s="1" t="s">
        <v>65</v>
      </c>
      <c r="I223" s="1" t="s">
        <v>59</v>
      </c>
      <c r="J223" s="1" t="s">
        <v>32</v>
      </c>
      <c r="K223" s="1" t="s">
        <v>33</v>
      </c>
      <c r="L223" s="2">
        <v>45955</v>
      </c>
      <c r="M223" s="2">
        <v>45973</v>
      </c>
      <c r="N223">
        <v>1423239</v>
      </c>
      <c r="O223">
        <v>58312</v>
      </c>
      <c r="P223">
        <v>1364927</v>
      </c>
      <c r="Q223" s="1" t="s">
        <v>66</v>
      </c>
      <c r="R223" s="1" t="s">
        <v>67</v>
      </c>
      <c r="S223" s="1" t="s">
        <v>36</v>
      </c>
      <c r="T223" s="1" t="s">
        <v>36</v>
      </c>
      <c r="U223">
        <v>4.2</v>
      </c>
      <c r="V223" t="s">
        <v>56</v>
      </c>
      <c r="W223">
        <v>11</v>
      </c>
      <c r="X223" s="1" t="s">
        <v>60</v>
      </c>
    </row>
    <row r="224" spans="1:24" x14ac:dyDescent="0.55000000000000004">
      <c r="A224" s="1" t="s">
        <v>308</v>
      </c>
      <c r="B224" s="1" t="s">
        <v>81</v>
      </c>
      <c r="C224">
        <v>40</v>
      </c>
      <c r="D224" s="1" t="s">
        <v>42</v>
      </c>
      <c r="E224" s="1" t="s">
        <v>71</v>
      </c>
      <c r="F224" s="1" t="s">
        <v>72</v>
      </c>
      <c r="G224" s="1" t="s">
        <v>29</v>
      </c>
      <c r="H224" s="1" t="s">
        <v>65</v>
      </c>
      <c r="I224" s="1" t="s">
        <v>45</v>
      </c>
      <c r="J224" s="1" t="s">
        <v>32</v>
      </c>
      <c r="K224" s="1" t="s">
        <v>46</v>
      </c>
      <c r="L224" s="2">
        <v>45999</v>
      </c>
      <c r="M224" s="2">
        <v>46043</v>
      </c>
      <c r="N224">
        <v>1311992</v>
      </c>
      <c r="O224">
        <v>37021</v>
      </c>
      <c r="P224">
        <v>1274971</v>
      </c>
      <c r="Q224" s="1" t="s">
        <v>66</v>
      </c>
      <c r="R224" s="1" t="s">
        <v>67</v>
      </c>
      <c r="S224" s="1" t="s">
        <v>36</v>
      </c>
      <c r="T224" s="1" t="s">
        <v>36</v>
      </c>
      <c r="U224">
        <v>3.8</v>
      </c>
      <c r="V224" t="s">
        <v>38</v>
      </c>
      <c r="W224">
        <v>1</v>
      </c>
      <c r="X224" s="1" t="s">
        <v>88</v>
      </c>
    </row>
    <row r="225" spans="1:24" x14ac:dyDescent="0.55000000000000004">
      <c r="A225" s="1" t="s">
        <v>309</v>
      </c>
      <c r="B225" s="1" t="s">
        <v>62</v>
      </c>
      <c r="C225">
        <v>40</v>
      </c>
      <c r="D225" s="1" t="s">
        <v>26</v>
      </c>
      <c r="E225" s="1" t="s">
        <v>43</v>
      </c>
      <c r="F225" s="1" t="s">
        <v>44</v>
      </c>
      <c r="G225" s="1" t="s">
        <v>29</v>
      </c>
      <c r="H225" s="1" t="s">
        <v>65</v>
      </c>
      <c r="I225" s="1" t="s">
        <v>59</v>
      </c>
      <c r="J225" s="1" t="s">
        <v>54</v>
      </c>
      <c r="K225" s="1" t="s">
        <v>33</v>
      </c>
      <c r="L225" s="2">
        <v>46092</v>
      </c>
      <c r="M225" s="2">
        <v>46129</v>
      </c>
      <c r="N225">
        <v>1368459</v>
      </c>
      <c r="O225">
        <v>93115</v>
      </c>
      <c r="P225">
        <v>1275344</v>
      </c>
      <c r="Q225" s="1" t="s">
        <v>66</v>
      </c>
      <c r="R225" s="1" t="s">
        <v>48</v>
      </c>
      <c r="S225" s="1" t="s">
        <v>37</v>
      </c>
      <c r="T225" s="1" t="s">
        <v>37</v>
      </c>
      <c r="U225">
        <v>3.8</v>
      </c>
      <c r="V225" t="s">
        <v>38</v>
      </c>
      <c r="W225">
        <v>4</v>
      </c>
      <c r="X225" s="1" t="s">
        <v>63</v>
      </c>
    </row>
    <row r="226" spans="1:24" x14ac:dyDescent="0.55000000000000004">
      <c r="A226" s="1" t="s">
        <v>310</v>
      </c>
      <c r="B226" s="1" t="s">
        <v>41</v>
      </c>
      <c r="C226">
        <v>36</v>
      </c>
      <c r="D226" s="1" t="s">
        <v>42</v>
      </c>
      <c r="E226" s="1" t="s">
        <v>52</v>
      </c>
      <c r="F226" s="1" t="s">
        <v>44</v>
      </c>
      <c r="G226" s="1" t="s">
        <v>29</v>
      </c>
      <c r="H226" s="1" t="s">
        <v>30</v>
      </c>
      <c r="I226" s="1" t="s">
        <v>45</v>
      </c>
      <c r="J226" s="1" t="s">
        <v>32</v>
      </c>
      <c r="K226" s="1" t="s">
        <v>46</v>
      </c>
      <c r="L226" s="2">
        <v>46006</v>
      </c>
      <c r="M226" s="2">
        <v>46038</v>
      </c>
      <c r="N226">
        <v>1723343</v>
      </c>
      <c r="O226">
        <v>17301</v>
      </c>
      <c r="P226">
        <v>1706042</v>
      </c>
      <c r="Q226" s="1" t="s">
        <v>55</v>
      </c>
      <c r="R226" s="1" t="s">
        <v>109</v>
      </c>
      <c r="S226" s="1" t="s">
        <v>37</v>
      </c>
      <c r="T226" s="1" t="s">
        <v>37</v>
      </c>
      <c r="U226">
        <v>3</v>
      </c>
      <c r="V226" t="s">
        <v>38</v>
      </c>
      <c r="W226">
        <v>1</v>
      </c>
      <c r="X226" s="1" t="s">
        <v>88</v>
      </c>
    </row>
    <row r="227" spans="1:24" x14ac:dyDescent="0.55000000000000004">
      <c r="A227" s="1" t="s">
        <v>311</v>
      </c>
      <c r="B227" s="1" t="s">
        <v>51</v>
      </c>
      <c r="C227">
        <v>55</v>
      </c>
      <c r="D227" s="1" t="s">
        <v>42</v>
      </c>
      <c r="E227" s="1" t="s">
        <v>52</v>
      </c>
      <c r="F227" s="1" t="s">
        <v>44</v>
      </c>
      <c r="G227" s="1" t="s">
        <v>29</v>
      </c>
      <c r="H227" s="1" t="s">
        <v>30</v>
      </c>
      <c r="I227" s="1" t="s">
        <v>53</v>
      </c>
      <c r="J227" s="1" t="s">
        <v>32</v>
      </c>
      <c r="K227" s="1" t="s">
        <v>46</v>
      </c>
      <c r="L227" s="2">
        <v>45933</v>
      </c>
      <c r="M227" s="2">
        <v>45976</v>
      </c>
      <c r="N227">
        <v>1664133</v>
      </c>
      <c r="O227">
        <v>44061</v>
      </c>
      <c r="P227">
        <v>1620072</v>
      </c>
      <c r="Q227" s="1" t="s">
        <v>66</v>
      </c>
      <c r="R227" s="1" t="s">
        <v>79</v>
      </c>
      <c r="S227" s="1" t="s">
        <v>36</v>
      </c>
      <c r="T227" s="1" t="s">
        <v>37</v>
      </c>
      <c r="U227">
        <v>3.5</v>
      </c>
      <c r="V227" t="s">
        <v>38</v>
      </c>
      <c r="W227">
        <v>11</v>
      </c>
      <c r="X227" s="1" t="s">
        <v>60</v>
      </c>
    </row>
    <row r="228" spans="1:24" x14ac:dyDescent="0.55000000000000004">
      <c r="A228" s="1" t="s">
        <v>312</v>
      </c>
      <c r="B228" s="1" t="s">
        <v>70</v>
      </c>
      <c r="C228">
        <v>36</v>
      </c>
      <c r="D228" s="1" t="s">
        <v>26</v>
      </c>
      <c r="E228" s="1" t="s">
        <v>90</v>
      </c>
      <c r="F228" s="1" t="s">
        <v>44</v>
      </c>
      <c r="G228" s="1" t="s">
        <v>29</v>
      </c>
      <c r="H228" s="1" t="s">
        <v>30</v>
      </c>
      <c r="I228" s="1" t="s">
        <v>45</v>
      </c>
      <c r="J228" s="1" t="s">
        <v>54</v>
      </c>
      <c r="K228" s="1" t="s">
        <v>33</v>
      </c>
      <c r="L228" s="2">
        <v>45715</v>
      </c>
      <c r="M228" s="2">
        <v>45730</v>
      </c>
      <c r="N228">
        <v>1415243</v>
      </c>
      <c r="O228">
        <v>18780</v>
      </c>
      <c r="P228">
        <v>1396463</v>
      </c>
      <c r="Q228" s="1" t="s">
        <v>55</v>
      </c>
      <c r="R228" s="1" t="s">
        <v>109</v>
      </c>
      <c r="S228" s="1" t="s">
        <v>37</v>
      </c>
      <c r="T228" s="1" t="s">
        <v>36</v>
      </c>
      <c r="U228">
        <v>4.4000000000000004</v>
      </c>
      <c r="V228" t="s">
        <v>56</v>
      </c>
      <c r="W228">
        <v>3</v>
      </c>
      <c r="X228" s="1" t="s">
        <v>96</v>
      </c>
    </row>
    <row r="229" spans="1:24" x14ac:dyDescent="0.55000000000000004">
      <c r="A229" s="1" t="s">
        <v>313</v>
      </c>
      <c r="B229" s="1" t="s">
        <v>81</v>
      </c>
      <c r="C229">
        <v>39</v>
      </c>
      <c r="D229" s="1" t="s">
        <v>26</v>
      </c>
      <c r="E229" s="1" t="s">
        <v>84</v>
      </c>
      <c r="F229" s="1" t="s">
        <v>85</v>
      </c>
      <c r="G229" s="1" t="s">
        <v>29</v>
      </c>
      <c r="H229" s="1" t="s">
        <v>65</v>
      </c>
      <c r="I229" s="1" t="s">
        <v>59</v>
      </c>
      <c r="J229" s="1" t="s">
        <v>32</v>
      </c>
      <c r="K229" s="1" t="s">
        <v>33</v>
      </c>
      <c r="L229" s="2">
        <v>46121</v>
      </c>
      <c r="M229" s="2">
        <v>46165</v>
      </c>
      <c r="N229">
        <v>1692773</v>
      </c>
      <c r="O229">
        <v>72286</v>
      </c>
      <c r="P229">
        <v>1620487</v>
      </c>
      <c r="Q229" s="1" t="s">
        <v>78</v>
      </c>
      <c r="R229" s="1" t="s">
        <v>79</v>
      </c>
      <c r="S229" s="1" t="s">
        <v>37</v>
      </c>
      <c r="T229" s="1" t="s">
        <v>36</v>
      </c>
      <c r="U229">
        <v>4.0999999999999996</v>
      </c>
      <c r="V229" t="s">
        <v>38</v>
      </c>
      <c r="W229">
        <v>5</v>
      </c>
      <c r="X229" s="1" t="s">
        <v>86</v>
      </c>
    </row>
    <row r="230" spans="1:24" x14ac:dyDescent="0.55000000000000004">
      <c r="A230" s="1" t="s">
        <v>314</v>
      </c>
      <c r="B230" s="1" t="s">
        <v>93</v>
      </c>
      <c r="C230">
        <v>44</v>
      </c>
      <c r="D230" s="1" t="s">
        <v>26</v>
      </c>
      <c r="E230" s="1" t="s">
        <v>52</v>
      </c>
      <c r="F230" s="1" t="s">
        <v>44</v>
      </c>
      <c r="G230" s="1" t="s">
        <v>29</v>
      </c>
      <c r="H230" s="1" t="s">
        <v>65</v>
      </c>
      <c r="I230" s="1" t="s">
        <v>53</v>
      </c>
      <c r="J230" s="1" t="s">
        <v>32</v>
      </c>
      <c r="K230" s="1" t="s">
        <v>33</v>
      </c>
      <c r="L230" s="2">
        <v>45957</v>
      </c>
      <c r="M230" s="2">
        <v>45986</v>
      </c>
      <c r="N230">
        <v>1873749</v>
      </c>
      <c r="O230">
        <v>55498</v>
      </c>
      <c r="P230">
        <v>1818251</v>
      </c>
      <c r="Q230" s="1" t="s">
        <v>78</v>
      </c>
      <c r="R230" s="1" t="s">
        <v>35</v>
      </c>
      <c r="S230" s="1" t="s">
        <v>37</v>
      </c>
      <c r="T230" s="1" t="s">
        <v>37</v>
      </c>
      <c r="U230">
        <v>4.5999999999999996</v>
      </c>
      <c r="V230" t="s">
        <v>38</v>
      </c>
      <c r="W230">
        <v>11</v>
      </c>
      <c r="X230" s="1" t="s">
        <v>60</v>
      </c>
    </row>
    <row r="231" spans="1:24" x14ac:dyDescent="0.55000000000000004">
      <c r="A231" s="1" t="s">
        <v>315</v>
      </c>
      <c r="B231" s="1" t="s">
        <v>41</v>
      </c>
      <c r="C231">
        <v>56</v>
      </c>
      <c r="D231" s="1" t="s">
        <v>26</v>
      </c>
      <c r="E231" s="1" t="s">
        <v>27</v>
      </c>
      <c r="F231" s="1" t="s">
        <v>28</v>
      </c>
      <c r="G231" s="1" t="s">
        <v>29</v>
      </c>
      <c r="H231" s="1" t="s">
        <v>65</v>
      </c>
      <c r="I231" s="1" t="s">
        <v>45</v>
      </c>
      <c r="J231" s="1" t="s">
        <v>32</v>
      </c>
      <c r="K231" s="1" t="s">
        <v>33</v>
      </c>
      <c r="L231" s="2">
        <v>46050</v>
      </c>
      <c r="M231" s="2">
        <v>46076</v>
      </c>
      <c r="N231">
        <v>1848960</v>
      </c>
      <c r="O231">
        <v>28859</v>
      </c>
      <c r="P231">
        <v>1820101</v>
      </c>
      <c r="Q231" s="1" t="s">
        <v>47</v>
      </c>
      <c r="R231" s="1" t="s">
        <v>67</v>
      </c>
      <c r="S231" s="1" t="s">
        <v>37</v>
      </c>
      <c r="T231" s="1" t="s">
        <v>36</v>
      </c>
      <c r="U231">
        <v>4.3</v>
      </c>
      <c r="V231" t="s">
        <v>38</v>
      </c>
      <c r="W231">
        <v>2</v>
      </c>
      <c r="X231" s="1" t="s">
        <v>107</v>
      </c>
    </row>
    <row r="232" spans="1:24" x14ac:dyDescent="0.55000000000000004">
      <c r="A232" s="1" t="s">
        <v>316</v>
      </c>
      <c r="B232" s="1" t="s">
        <v>51</v>
      </c>
      <c r="C232">
        <v>37</v>
      </c>
      <c r="D232" s="1" t="s">
        <v>26</v>
      </c>
      <c r="E232" s="1" t="s">
        <v>52</v>
      </c>
      <c r="F232" s="1" t="s">
        <v>44</v>
      </c>
      <c r="G232" s="1" t="s">
        <v>29</v>
      </c>
      <c r="H232" s="1" t="s">
        <v>30</v>
      </c>
      <c r="I232" s="1" t="s">
        <v>59</v>
      </c>
      <c r="J232" s="1" t="s">
        <v>54</v>
      </c>
      <c r="K232" s="1" t="s">
        <v>46</v>
      </c>
      <c r="L232" s="2">
        <v>46122</v>
      </c>
      <c r="M232" s="2">
        <v>46164</v>
      </c>
      <c r="N232">
        <v>1859945</v>
      </c>
      <c r="O232">
        <v>30779</v>
      </c>
      <c r="P232">
        <v>1829166</v>
      </c>
      <c r="Q232" s="1" t="s">
        <v>34</v>
      </c>
      <c r="R232" s="1" t="s">
        <v>79</v>
      </c>
      <c r="S232" s="1" t="s">
        <v>37</v>
      </c>
      <c r="T232" s="1" t="s">
        <v>37</v>
      </c>
      <c r="U232">
        <v>3.3</v>
      </c>
      <c r="V232" t="s">
        <v>38</v>
      </c>
      <c r="W232">
        <v>5</v>
      </c>
      <c r="X232" s="1" t="s">
        <v>86</v>
      </c>
    </row>
    <row r="233" spans="1:24" x14ac:dyDescent="0.55000000000000004">
      <c r="A233" s="1" t="s">
        <v>317</v>
      </c>
      <c r="B233" s="1" t="s">
        <v>51</v>
      </c>
      <c r="C233">
        <v>25</v>
      </c>
      <c r="D233" s="1" t="s">
        <v>26</v>
      </c>
      <c r="E233" s="1" t="s">
        <v>43</v>
      </c>
      <c r="F233" s="1" t="s">
        <v>44</v>
      </c>
      <c r="G233" s="1" t="s">
        <v>29</v>
      </c>
      <c r="H233" s="1" t="s">
        <v>30</v>
      </c>
      <c r="I233" s="1" t="s">
        <v>53</v>
      </c>
      <c r="J233" s="1" t="s">
        <v>32</v>
      </c>
      <c r="K233" s="1" t="s">
        <v>33</v>
      </c>
      <c r="L233" s="2">
        <v>45825</v>
      </c>
      <c r="M233" s="2">
        <v>45870</v>
      </c>
      <c r="N233">
        <v>1300775</v>
      </c>
      <c r="O233">
        <v>94471</v>
      </c>
      <c r="P233">
        <v>1206304</v>
      </c>
      <c r="Q233" s="1" t="s">
        <v>78</v>
      </c>
      <c r="R233" s="1" t="s">
        <v>35</v>
      </c>
      <c r="S233" s="1" t="s">
        <v>37</v>
      </c>
      <c r="T233" s="1" t="s">
        <v>36</v>
      </c>
      <c r="U233">
        <v>4.0999999999999996</v>
      </c>
      <c r="V233" t="s">
        <v>38</v>
      </c>
      <c r="W233">
        <v>8</v>
      </c>
      <c r="X233" s="1" t="s">
        <v>57</v>
      </c>
    </row>
    <row r="234" spans="1:24" x14ac:dyDescent="0.55000000000000004">
      <c r="A234" s="1" t="s">
        <v>318</v>
      </c>
      <c r="B234" s="1" t="s">
        <v>51</v>
      </c>
      <c r="C234">
        <v>41</v>
      </c>
      <c r="D234" s="1" t="s">
        <v>42</v>
      </c>
      <c r="E234" s="1" t="s">
        <v>43</v>
      </c>
      <c r="F234" s="1" t="s">
        <v>44</v>
      </c>
      <c r="G234" s="1" t="s">
        <v>29</v>
      </c>
      <c r="H234" s="1" t="s">
        <v>65</v>
      </c>
      <c r="I234" s="1" t="s">
        <v>31</v>
      </c>
      <c r="J234" s="1" t="s">
        <v>32</v>
      </c>
      <c r="K234" s="1" t="s">
        <v>46</v>
      </c>
      <c r="L234" s="2">
        <v>46114</v>
      </c>
      <c r="M234" s="2">
        <v>46127</v>
      </c>
      <c r="N234">
        <v>1311312</v>
      </c>
      <c r="O234">
        <v>19793</v>
      </c>
      <c r="P234">
        <v>1291519</v>
      </c>
      <c r="Q234" s="1" t="s">
        <v>55</v>
      </c>
      <c r="R234" s="1" t="s">
        <v>109</v>
      </c>
      <c r="S234" s="1" t="s">
        <v>37</v>
      </c>
      <c r="T234" s="1" t="s">
        <v>37</v>
      </c>
      <c r="U234">
        <v>3.9</v>
      </c>
      <c r="V234" t="s">
        <v>56</v>
      </c>
      <c r="W234">
        <v>4</v>
      </c>
      <c r="X234" s="1" t="s">
        <v>63</v>
      </c>
    </row>
    <row r="235" spans="1:24" x14ac:dyDescent="0.55000000000000004">
      <c r="A235" s="1" t="s">
        <v>319</v>
      </c>
      <c r="B235" s="1" t="s">
        <v>81</v>
      </c>
      <c r="C235">
        <v>27</v>
      </c>
      <c r="D235" s="1" t="s">
        <v>42</v>
      </c>
      <c r="E235" s="1" t="s">
        <v>27</v>
      </c>
      <c r="F235" s="1" t="s">
        <v>28</v>
      </c>
      <c r="G235" s="1" t="s">
        <v>29</v>
      </c>
      <c r="H235" s="1" t="s">
        <v>30</v>
      </c>
      <c r="I235" s="1" t="s">
        <v>53</v>
      </c>
      <c r="J235" s="1" t="s">
        <v>32</v>
      </c>
      <c r="K235" s="1" t="s">
        <v>33</v>
      </c>
      <c r="L235" s="2">
        <v>46142</v>
      </c>
      <c r="M235" s="2">
        <v>46172</v>
      </c>
      <c r="N235">
        <v>1694818</v>
      </c>
      <c r="O235">
        <v>22823</v>
      </c>
      <c r="P235">
        <v>1671995</v>
      </c>
      <c r="Q235" s="1" t="s">
        <v>55</v>
      </c>
      <c r="R235" s="1" t="s">
        <v>48</v>
      </c>
      <c r="S235" s="1" t="s">
        <v>37</v>
      </c>
      <c r="T235" s="1" t="s">
        <v>36</v>
      </c>
      <c r="U235">
        <v>3.1</v>
      </c>
      <c r="V235" t="s">
        <v>38</v>
      </c>
      <c r="W235">
        <v>5</v>
      </c>
      <c r="X235" s="1" t="s">
        <v>86</v>
      </c>
    </row>
    <row r="236" spans="1:24" x14ac:dyDescent="0.55000000000000004">
      <c r="A236" s="1" t="s">
        <v>320</v>
      </c>
      <c r="B236" s="1" t="s">
        <v>62</v>
      </c>
      <c r="C236">
        <v>33</v>
      </c>
      <c r="D236" s="1" t="s">
        <v>26</v>
      </c>
      <c r="E236" s="1" t="s">
        <v>90</v>
      </c>
      <c r="F236" s="1" t="s">
        <v>44</v>
      </c>
      <c r="G236" s="1" t="s">
        <v>29</v>
      </c>
      <c r="H236" s="1" t="s">
        <v>65</v>
      </c>
      <c r="I236" s="1" t="s">
        <v>45</v>
      </c>
      <c r="J236" s="1" t="s">
        <v>54</v>
      </c>
      <c r="K236" s="1" t="s">
        <v>33</v>
      </c>
      <c r="L236" s="2">
        <v>45785</v>
      </c>
      <c r="M236" s="2">
        <v>45802</v>
      </c>
      <c r="N236">
        <v>1408106</v>
      </c>
      <c r="O236">
        <v>86546</v>
      </c>
      <c r="P236">
        <v>1321560</v>
      </c>
      <c r="Q236" s="1" t="s">
        <v>55</v>
      </c>
      <c r="R236" s="1" t="s">
        <v>35</v>
      </c>
      <c r="S236" s="1" t="s">
        <v>36</v>
      </c>
      <c r="T236" s="1" t="s">
        <v>37</v>
      </c>
      <c r="U236">
        <v>4.5</v>
      </c>
      <c r="V236" t="s">
        <v>56</v>
      </c>
      <c r="W236">
        <v>5</v>
      </c>
      <c r="X236" s="1" t="s">
        <v>86</v>
      </c>
    </row>
    <row r="237" spans="1:24" x14ac:dyDescent="0.55000000000000004">
      <c r="A237" s="1" t="s">
        <v>321</v>
      </c>
      <c r="B237" s="1" t="s">
        <v>51</v>
      </c>
      <c r="C237">
        <v>40</v>
      </c>
      <c r="D237" s="1" t="s">
        <v>26</v>
      </c>
      <c r="E237" s="1" t="s">
        <v>43</v>
      </c>
      <c r="F237" s="1" t="s">
        <v>44</v>
      </c>
      <c r="G237" s="1" t="s">
        <v>29</v>
      </c>
      <c r="H237" s="1" t="s">
        <v>65</v>
      </c>
      <c r="I237" s="1" t="s">
        <v>45</v>
      </c>
      <c r="J237" s="1" t="s">
        <v>54</v>
      </c>
      <c r="K237" s="1" t="s">
        <v>46</v>
      </c>
      <c r="L237" s="2">
        <v>46111</v>
      </c>
      <c r="M237" s="2">
        <v>46148</v>
      </c>
      <c r="N237">
        <v>1390539</v>
      </c>
      <c r="O237">
        <v>29272</v>
      </c>
      <c r="P237">
        <v>1361267</v>
      </c>
      <c r="Q237" s="1" t="s">
        <v>66</v>
      </c>
      <c r="R237" s="1" t="s">
        <v>48</v>
      </c>
      <c r="S237" s="1" t="s">
        <v>37</v>
      </c>
      <c r="T237" s="1" t="s">
        <v>36</v>
      </c>
      <c r="U237">
        <v>4.5999999999999996</v>
      </c>
      <c r="V237" t="s">
        <v>38</v>
      </c>
      <c r="W237">
        <v>5</v>
      </c>
      <c r="X237" s="1" t="s">
        <v>86</v>
      </c>
    </row>
    <row r="238" spans="1:24" x14ac:dyDescent="0.55000000000000004">
      <c r="A238" s="1" t="s">
        <v>322</v>
      </c>
      <c r="B238" s="1" t="s">
        <v>62</v>
      </c>
      <c r="C238">
        <v>53</v>
      </c>
      <c r="D238" s="1" t="s">
        <v>26</v>
      </c>
      <c r="E238" s="1" t="s">
        <v>43</v>
      </c>
      <c r="F238" s="1" t="s">
        <v>44</v>
      </c>
      <c r="G238" s="1" t="s">
        <v>29</v>
      </c>
      <c r="H238" s="1" t="s">
        <v>77</v>
      </c>
      <c r="I238" s="1" t="s">
        <v>45</v>
      </c>
      <c r="J238" s="1" t="s">
        <v>54</v>
      </c>
      <c r="K238" s="1" t="s">
        <v>33</v>
      </c>
      <c r="L238" s="2">
        <v>45985</v>
      </c>
      <c r="M238" s="2">
        <v>46001</v>
      </c>
      <c r="N238">
        <v>1614533</v>
      </c>
      <c r="O238">
        <v>76771</v>
      </c>
      <c r="P238">
        <v>1537762</v>
      </c>
      <c r="Q238" s="1" t="s">
        <v>47</v>
      </c>
      <c r="R238" s="1" t="s">
        <v>48</v>
      </c>
      <c r="S238" s="1" t="s">
        <v>36</v>
      </c>
      <c r="T238" s="1" t="s">
        <v>37</v>
      </c>
      <c r="U238">
        <v>3.1</v>
      </c>
      <c r="V238" t="s">
        <v>56</v>
      </c>
      <c r="W238">
        <v>12</v>
      </c>
      <c r="X238" s="1" t="s">
        <v>49</v>
      </c>
    </row>
    <row r="239" spans="1:24" x14ac:dyDescent="0.55000000000000004">
      <c r="A239" s="1" t="s">
        <v>323</v>
      </c>
      <c r="B239" s="1" t="s">
        <v>93</v>
      </c>
      <c r="C239">
        <v>45</v>
      </c>
      <c r="D239" s="1" t="s">
        <v>26</v>
      </c>
      <c r="E239" s="1" t="s">
        <v>84</v>
      </c>
      <c r="F239" s="1" t="s">
        <v>85</v>
      </c>
      <c r="G239" s="1" t="s">
        <v>29</v>
      </c>
      <c r="H239" s="1" t="s">
        <v>30</v>
      </c>
      <c r="I239" s="1" t="s">
        <v>74</v>
      </c>
      <c r="J239" s="1" t="s">
        <v>54</v>
      </c>
      <c r="K239" s="1" t="s">
        <v>33</v>
      </c>
      <c r="L239" s="2">
        <v>45936</v>
      </c>
      <c r="M239" s="2">
        <v>45945</v>
      </c>
      <c r="N239">
        <v>1460177</v>
      </c>
      <c r="O239">
        <v>79006</v>
      </c>
      <c r="P239">
        <v>1381171</v>
      </c>
      <c r="Q239" s="1" t="s">
        <v>78</v>
      </c>
      <c r="R239" s="1" t="s">
        <v>48</v>
      </c>
      <c r="S239" s="1" t="s">
        <v>37</v>
      </c>
      <c r="T239" s="1" t="s">
        <v>37</v>
      </c>
      <c r="U239">
        <v>3.7</v>
      </c>
      <c r="V239" t="s">
        <v>91</v>
      </c>
      <c r="W239">
        <v>10</v>
      </c>
      <c r="X239" s="1" t="s">
        <v>75</v>
      </c>
    </row>
    <row r="240" spans="1:24" x14ac:dyDescent="0.55000000000000004">
      <c r="A240" s="1" t="s">
        <v>324</v>
      </c>
      <c r="B240" s="1" t="s">
        <v>70</v>
      </c>
      <c r="C240">
        <v>31</v>
      </c>
      <c r="D240" s="1" t="s">
        <v>26</v>
      </c>
      <c r="E240" s="1" t="s">
        <v>71</v>
      </c>
      <c r="F240" s="1" t="s">
        <v>72</v>
      </c>
      <c r="G240" s="1" t="s">
        <v>29</v>
      </c>
      <c r="H240" s="1" t="s">
        <v>65</v>
      </c>
      <c r="I240" s="1" t="s">
        <v>31</v>
      </c>
      <c r="J240" s="1" t="s">
        <v>32</v>
      </c>
      <c r="K240" s="1" t="s">
        <v>33</v>
      </c>
      <c r="L240" s="2">
        <v>46081</v>
      </c>
      <c r="M240" s="2">
        <v>46105</v>
      </c>
      <c r="N240">
        <v>1834950</v>
      </c>
      <c r="O240">
        <v>17065</v>
      </c>
      <c r="P240">
        <v>1817885</v>
      </c>
      <c r="Q240" s="1" t="s">
        <v>34</v>
      </c>
      <c r="R240" s="1" t="s">
        <v>35</v>
      </c>
      <c r="S240" s="1" t="s">
        <v>37</v>
      </c>
      <c r="T240" s="1" t="s">
        <v>37</v>
      </c>
      <c r="U240">
        <v>4.0999999999999996</v>
      </c>
      <c r="V240" t="s">
        <v>38</v>
      </c>
      <c r="W240">
        <v>3</v>
      </c>
      <c r="X240" s="1" t="s">
        <v>96</v>
      </c>
    </row>
    <row r="241" spans="1:24" x14ac:dyDescent="0.55000000000000004">
      <c r="A241" s="1" t="s">
        <v>325</v>
      </c>
      <c r="B241" s="1" t="s">
        <v>93</v>
      </c>
      <c r="C241">
        <v>29</v>
      </c>
      <c r="D241" s="1" t="s">
        <v>26</v>
      </c>
      <c r="E241" s="1" t="s">
        <v>52</v>
      </c>
      <c r="F241" s="1" t="s">
        <v>44</v>
      </c>
      <c r="G241" s="1" t="s">
        <v>29</v>
      </c>
      <c r="H241" s="1" t="s">
        <v>30</v>
      </c>
      <c r="I241" s="1" t="s">
        <v>74</v>
      </c>
      <c r="J241" s="1" t="s">
        <v>54</v>
      </c>
      <c r="K241" s="1" t="s">
        <v>33</v>
      </c>
      <c r="L241" s="2">
        <v>45797</v>
      </c>
      <c r="M241" s="2">
        <v>45827</v>
      </c>
      <c r="N241">
        <v>1689568</v>
      </c>
      <c r="O241">
        <v>95497</v>
      </c>
      <c r="P241">
        <v>1594071</v>
      </c>
      <c r="Q241" s="1" t="s">
        <v>55</v>
      </c>
      <c r="R241" s="1" t="s">
        <v>67</v>
      </c>
      <c r="S241" s="1" t="s">
        <v>37</v>
      </c>
      <c r="T241" s="1" t="s">
        <v>36</v>
      </c>
      <c r="U241">
        <v>3.5</v>
      </c>
      <c r="V241" t="s">
        <v>38</v>
      </c>
      <c r="W241">
        <v>6</v>
      </c>
      <c r="X241" s="1" t="s">
        <v>68</v>
      </c>
    </row>
    <row r="242" spans="1:24" x14ac:dyDescent="0.55000000000000004">
      <c r="A242" s="1" t="s">
        <v>326</v>
      </c>
      <c r="B242" s="1" t="s">
        <v>62</v>
      </c>
      <c r="C242">
        <v>36</v>
      </c>
      <c r="D242" s="1" t="s">
        <v>26</v>
      </c>
      <c r="E242" s="1" t="s">
        <v>27</v>
      </c>
      <c r="F242" s="1" t="s">
        <v>28</v>
      </c>
      <c r="G242" s="1" t="s">
        <v>29</v>
      </c>
      <c r="H242" s="1" t="s">
        <v>77</v>
      </c>
      <c r="I242" s="1" t="s">
        <v>31</v>
      </c>
      <c r="J242" s="1" t="s">
        <v>54</v>
      </c>
      <c r="K242" s="1" t="s">
        <v>46</v>
      </c>
      <c r="L242" s="2">
        <v>45756</v>
      </c>
      <c r="M242" s="2">
        <v>45773</v>
      </c>
      <c r="N242">
        <v>1415248</v>
      </c>
      <c r="O242">
        <v>76731</v>
      </c>
      <c r="P242">
        <v>1338517</v>
      </c>
      <c r="Q242" s="1" t="s">
        <v>78</v>
      </c>
      <c r="R242" s="1" t="s">
        <v>48</v>
      </c>
      <c r="S242" s="1" t="s">
        <v>36</v>
      </c>
      <c r="T242" s="1" t="s">
        <v>36</v>
      </c>
      <c r="U242">
        <v>3.3</v>
      </c>
      <c r="V242" t="s">
        <v>56</v>
      </c>
      <c r="W242">
        <v>4</v>
      </c>
      <c r="X242" s="1" t="s">
        <v>63</v>
      </c>
    </row>
    <row r="243" spans="1:24" x14ac:dyDescent="0.55000000000000004">
      <c r="A243" s="1" t="s">
        <v>327</v>
      </c>
      <c r="B243" s="1" t="s">
        <v>105</v>
      </c>
      <c r="C243">
        <v>59</v>
      </c>
      <c r="D243" s="1" t="s">
        <v>42</v>
      </c>
      <c r="E243" s="1" t="s">
        <v>71</v>
      </c>
      <c r="F243" s="1" t="s">
        <v>72</v>
      </c>
      <c r="G243" s="1" t="s">
        <v>29</v>
      </c>
      <c r="H243" s="1" t="s">
        <v>65</v>
      </c>
      <c r="I243" s="1" t="s">
        <v>74</v>
      </c>
      <c r="J243" s="1" t="s">
        <v>32</v>
      </c>
      <c r="K243" s="1" t="s">
        <v>46</v>
      </c>
      <c r="L243" s="2">
        <v>45756</v>
      </c>
      <c r="M243" s="2">
        <v>45800</v>
      </c>
      <c r="N243">
        <v>1462089</v>
      </c>
      <c r="O243">
        <v>81284</v>
      </c>
      <c r="P243">
        <v>1380805</v>
      </c>
      <c r="Q243" s="1" t="s">
        <v>34</v>
      </c>
      <c r="R243" s="1" t="s">
        <v>48</v>
      </c>
      <c r="S243" s="1" t="s">
        <v>36</v>
      </c>
      <c r="T243" s="1" t="s">
        <v>36</v>
      </c>
      <c r="U243">
        <v>3.8</v>
      </c>
      <c r="V243" t="s">
        <v>38</v>
      </c>
      <c r="W243">
        <v>5</v>
      </c>
      <c r="X243" s="1" t="s">
        <v>86</v>
      </c>
    </row>
    <row r="244" spans="1:24" x14ac:dyDescent="0.55000000000000004">
      <c r="A244" s="1" t="s">
        <v>328</v>
      </c>
      <c r="B244" s="1" t="s">
        <v>70</v>
      </c>
      <c r="C244">
        <v>39</v>
      </c>
      <c r="D244" s="1" t="s">
        <v>42</v>
      </c>
      <c r="E244" s="1" t="s">
        <v>90</v>
      </c>
      <c r="F244" s="1" t="s">
        <v>44</v>
      </c>
      <c r="G244" s="1" t="s">
        <v>29</v>
      </c>
      <c r="H244" s="1" t="s">
        <v>30</v>
      </c>
      <c r="I244" s="1" t="s">
        <v>31</v>
      </c>
      <c r="J244" s="1" t="s">
        <v>54</v>
      </c>
      <c r="K244" s="1" t="s">
        <v>46</v>
      </c>
      <c r="L244" s="2">
        <v>46171</v>
      </c>
      <c r="M244" s="2">
        <v>46184</v>
      </c>
      <c r="N244">
        <v>1783935</v>
      </c>
      <c r="O244">
        <v>19332</v>
      </c>
      <c r="P244">
        <v>1764603</v>
      </c>
      <c r="Q244" s="1" t="s">
        <v>34</v>
      </c>
      <c r="R244" s="1" t="s">
        <v>35</v>
      </c>
      <c r="S244" s="1" t="s">
        <v>36</v>
      </c>
      <c r="T244" s="1" t="s">
        <v>36</v>
      </c>
      <c r="U244">
        <v>4.4000000000000004</v>
      </c>
      <c r="V244" t="s">
        <v>56</v>
      </c>
      <c r="W244">
        <v>6</v>
      </c>
      <c r="X244" s="1" t="s">
        <v>68</v>
      </c>
    </row>
    <row r="245" spans="1:24" x14ac:dyDescent="0.55000000000000004">
      <c r="A245" s="1" t="s">
        <v>329</v>
      </c>
      <c r="B245" s="1" t="s">
        <v>70</v>
      </c>
      <c r="C245">
        <v>53</v>
      </c>
      <c r="D245" s="1" t="s">
        <v>42</v>
      </c>
      <c r="E245" s="1" t="s">
        <v>71</v>
      </c>
      <c r="F245" s="1" t="s">
        <v>72</v>
      </c>
      <c r="G245" s="1" t="s">
        <v>29</v>
      </c>
      <c r="H245" s="1" t="s">
        <v>65</v>
      </c>
      <c r="I245" s="1" t="s">
        <v>59</v>
      </c>
      <c r="J245" s="1" t="s">
        <v>54</v>
      </c>
      <c r="K245" s="1" t="s">
        <v>33</v>
      </c>
      <c r="L245" s="2">
        <v>46187</v>
      </c>
      <c r="M245" s="2">
        <v>46201</v>
      </c>
      <c r="N245">
        <v>1479568</v>
      </c>
      <c r="O245">
        <v>41161</v>
      </c>
      <c r="P245">
        <v>1438407</v>
      </c>
      <c r="Q245" s="1" t="s">
        <v>55</v>
      </c>
      <c r="R245" s="1" t="s">
        <v>79</v>
      </c>
      <c r="S245" s="1" t="s">
        <v>37</v>
      </c>
      <c r="T245" s="1" t="s">
        <v>37</v>
      </c>
      <c r="U245">
        <v>4</v>
      </c>
      <c r="V245" t="s">
        <v>56</v>
      </c>
      <c r="W245">
        <v>6</v>
      </c>
      <c r="X245" s="1" t="s">
        <v>68</v>
      </c>
    </row>
    <row r="246" spans="1:24" x14ac:dyDescent="0.55000000000000004">
      <c r="A246" s="1" t="s">
        <v>330</v>
      </c>
      <c r="B246" s="1" t="s">
        <v>93</v>
      </c>
      <c r="C246">
        <v>56</v>
      </c>
      <c r="D246" s="1" t="s">
        <v>42</v>
      </c>
      <c r="E246" s="1" t="s">
        <v>52</v>
      </c>
      <c r="F246" s="1" t="s">
        <v>44</v>
      </c>
      <c r="G246" s="1" t="s">
        <v>29</v>
      </c>
      <c r="H246" s="1" t="s">
        <v>30</v>
      </c>
      <c r="I246" s="1" t="s">
        <v>59</v>
      </c>
      <c r="J246" s="1" t="s">
        <v>54</v>
      </c>
      <c r="K246" s="1" t="s">
        <v>33</v>
      </c>
      <c r="L246" s="2">
        <v>46100</v>
      </c>
      <c r="M246" s="2">
        <v>46117</v>
      </c>
      <c r="N246">
        <v>1471093</v>
      </c>
      <c r="O246">
        <v>78585</v>
      </c>
      <c r="P246">
        <v>1392508</v>
      </c>
      <c r="Q246" s="1" t="s">
        <v>34</v>
      </c>
      <c r="R246" s="1" t="s">
        <v>35</v>
      </c>
      <c r="S246" s="1" t="s">
        <v>36</v>
      </c>
      <c r="T246" s="1" t="s">
        <v>36</v>
      </c>
      <c r="U246">
        <v>4.9000000000000004</v>
      </c>
      <c r="V246" t="s">
        <v>56</v>
      </c>
      <c r="W246">
        <v>4</v>
      </c>
      <c r="X246" s="1" t="s">
        <v>63</v>
      </c>
    </row>
    <row r="247" spans="1:24" x14ac:dyDescent="0.55000000000000004">
      <c r="A247" s="1" t="s">
        <v>331</v>
      </c>
      <c r="B247" s="1" t="s">
        <v>25</v>
      </c>
      <c r="C247">
        <v>33</v>
      </c>
      <c r="D247" s="1" t="s">
        <v>26</v>
      </c>
      <c r="E247" s="1" t="s">
        <v>52</v>
      </c>
      <c r="F247" s="1" t="s">
        <v>44</v>
      </c>
      <c r="G247" s="1" t="s">
        <v>29</v>
      </c>
      <c r="H247" s="1" t="s">
        <v>77</v>
      </c>
      <c r="I247" s="1" t="s">
        <v>45</v>
      </c>
      <c r="J247" s="1" t="s">
        <v>32</v>
      </c>
      <c r="K247" s="1" t="s">
        <v>46</v>
      </c>
      <c r="L247" s="2">
        <v>45945</v>
      </c>
      <c r="M247" s="2">
        <v>45957</v>
      </c>
      <c r="N247">
        <v>1549239</v>
      </c>
      <c r="O247">
        <v>18554</v>
      </c>
      <c r="P247">
        <v>1530685</v>
      </c>
      <c r="Q247" s="1" t="s">
        <v>47</v>
      </c>
      <c r="R247" s="1" t="s">
        <v>79</v>
      </c>
      <c r="S247" s="1" t="s">
        <v>36</v>
      </c>
      <c r="T247" s="1" t="s">
        <v>37</v>
      </c>
      <c r="U247">
        <v>3.4</v>
      </c>
      <c r="V247" t="s">
        <v>56</v>
      </c>
      <c r="W247">
        <v>10</v>
      </c>
      <c r="X247" s="1" t="s">
        <v>75</v>
      </c>
    </row>
    <row r="248" spans="1:24" x14ac:dyDescent="0.55000000000000004">
      <c r="A248" s="1" t="s">
        <v>332</v>
      </c>
      <c r="B248" s="1" t="s">
        <v>62</v>
      </c>
      <c r="C248">
        <v>53</v>
      </c>
      <c r="D248" s="1" t="s">
        <v>26</v>
      </c>
      <c r="E248" s="1" t="s">
        <v>27</v>
      </c>
      <c r="F248" s="1" t="s">
        <v>28</v>
      </c>
      <c r="G248" s="1" t="s">
        <v>29</v>
      </c>
      <c r="H248" s="1" t="s">
        <v>30</v>
      </c>
      <c r="I248" s="1" t="s">
        <v>53</v>
      </c>
      <c r="J248" s="1" t="s">
        <v>54</v>
      </c>
      <c r="K248" s="1" t="s">
        <v>46</v>
      </c>
      <c r="L248" s="2">
        <v>46137</v>
      </c>
      <c r="M248" s="2">
        <v>46165</v>
      </c>
      <c r="N248">
        <v>1503073</v>
      </c>
      <c r="O248">
        <v>45101</v>
      </c>
      <c r="P248">
        <v>1457972</v>
      </c>
      <c r="Q248" s="1" t="s">
        <v>55</v>
      </c>
      <c r="R248" s="1" t="s">
        <v>67</v>
      </c>
      <c r="S248" s="1" t="s">
        <v>36</v>
      </c>
      <c r="T248" s="1" t="s">
        <v>36</v>
      </c>
      <c r="U248">
        <v>4.5999999999999996</v>
      </c>
      <c r="V248" t="s">
        <v>38</v>
      </c>
      <c r="W248">
        <v>5</v>
      </c>
      <c r="X248" s="1" t="s">
        <v>86</v>
      </c>
    </row>
    <row r="249" spans="1:24" x14ac:dyDescent="0.55000000000000004">
      <c r="A249" s="1" t="s">
        <v>333</v>
      </c>
      <c r="B249" s="1" t="s">
        <v>25</v>
      </c>
      <c r="C249">
        <v>55</v>
      </c>
      <c r="D249" s="1" t="s">
        <v>42</v>
      </c>
      <c r="E249" s="1" t="s">
        <v>71</v>
      </c>
      <c r="F249" s="1" t="s">
        <v>72</v>
      </c>
      <c r="G249" s="1" t="s">
        <v>29</v>
      </c>
      <c r="H249" s="1" t="s">
        <v>30</v>
      </c>
      <c r="I249" s="1" t="s">
        <v>31</v>
      </c>
      <c r="J249" s="1" t="s">
        <v>54</v>
      </c>
      <c r="K249" s="1" t="s">
        <v>46</v>
      </c>
      <c r="L249" s="2">
        <v>45709</v>
      </c>
      <c r="M249" s="2">
        <v>45753</v>
      </c>
      <c r="N249">
        <v>1605047</v>
      </c>
      <c r="O249">
        <v>29090</v>
      </c>
      <c r="P249">
        <v>1575957</v>
      </c>
      <c r="Q249" s="1" t="s">
        <v>55</v>
      </c>
      <c r="R249" s="1" t="s">
        <v>79</v>
      </c>
      <c r="S249" s="1" t="s">
        <v>36</v>
      </c>
      <c r="T249" s="1" t="s">
        <v>37</v>
      </c>
      <c r="U249">
        <v>5</v>
      </c>
      <c r="V249" t="s">
        <v>38</v>
      </c>
      <c r="W249">
        <v>4</v>
      </c>
      <c r="X249" s="1" t="s">
        <v>63</v>
      </c>
    </row>
    <row r="250" spans="1:24" x14ac:dyDescent="0.55000000000000004">
      <c r="A250" s="1" t="s">
        <v>334</v>
      </c>
      <c r="B250" s="1" t="s">
        <v>25</v>
      </c>
      <c r="C250">
        <v>54</v>
      </c>
      <c r="D250" s="1" t="s">
        <v>42</v>
      </c>
      <c r="E250" s="1" t="s">
        <v>71</v>
      </c>
      <c r="F250" s="1" t="s">
        <v>72</v>
      </c>
      <c r="G250" s="1" t="s">
        <v>29</v>
      </c>
      <c r="H250" s="1" t="s">
        <v>30</v>
      </c>
      <c r="I250" s="1" t="s">
        <v>74</v>
      </c>
      <c r="J250" s="1" t="s">
        <v>32</v>
      </c>
      <c r="K250" s="1" t="s">
        <v>46</v>
      </c>
      <c r="L250" s="2">
        <v>45826</v>
      </c>
      <c r="M250" s="2">
        <v>45853</v>
      </c>
      <c r="N250">
        <v>1587781</v>
      </c>
      <c r="O250">
        <v>51401</v>
      </c>
      <c r="P250">
        <v>1536380</v>
      </c>
      <c r="Q250" s="1" t="s">
        <v>55</v>
      </c>
      <c r="R250" s="1" t="s">
        <v>67</v>
      </c>
      <c r="S250" s="1" t="s">
        <v>37</v>
      </c>
      <c r="T250" s="1" t="s">
        <v>37</v>
      </c>
      <c r="U250">
        <v>3.6</v>
      </c>
      <c r="V250" t="s">
        <v>38</v>
      </c>
      <c r="W250">
        <v>7</v>
      </c>
      <c r="X250" s="1" t="s">
        <v>39</v>
      </c>
    </row>
    <row r="251" spans="1:24" x14ac:dyDescent="0.55000000000000004">
      <c r="A251" s="1" t="s">
        <v>335</v>
      </c>
      <c r="B251" s="1" t="s">
        <v>81</v>
      </c>
      <c r="C251">
        <v>31</v>
      </c>
      <c r="D251" s="1" t="s">
        <v>26</v>
      </c>
      <c r="E251" s="1" t="s">
        <v>43</v>
      </c>
      <c r="F251" s="1" t="s">
        <v>44</v>
      </c>
      <c r="G251" s="1" t="s">
        <v>29</v>
      </c>
      <c r="H251" s="1" t="s">
        <v>30</v>
      </c>
      <c r="I251" s="1" t="s">
        <v>31</v>
      </c>
      <c r="J251" s="1" t="s">
        <v>32</v>
      </c>
      <c r="K251" s="1" t="s">
        <v>46</v>
      </c>
      <c r="L251" s="2">
        <v>45881</v>
      </c>
      <c r="M251" s="2">
        <v>45888</v>
      </c>
      <c r="N251">
        <v>1563383</v>
      </c>
      <c r="O251">
        <v>58549</v>
      </c>
      <c r="P251">
        <v>1504834</v>
      </c>
      <c r="Q251" s="1" t="s">
        <v>34</v>
      </c>
      <c r="R251" s="1" t="s">
        <v>109</v>
      </c>
      <c r="S251" s="1" t="s">
        <v>37</v>
      </c>
      <c r="T251" s="1" t="s">
        <v>36</v>
      </c>
      <c r="U251">
        <v>4.5999999999999996</v>
      </c>
      <c r="V251" t="s">
        <v>91</v>
      </c>
      <c r="W251">
        <v>8</v>
      </c>
      <c r="X251" s="1" t="s">
        <v>57</v>
      </c>
    </row>
    <row r="252" spans="1:24" x14ac:dyDescent="0.55000000000000004">
      <c r="A252" s="1" t="s">
        <v>336</v>
      </c>
      <c r="B252" s="1" t="s">
        <v>25</v>
      </c>
      <c r="C252">
        <v>21</v>
      </c>
      <c r="D252" s="1" t="s">
        <v>42</v>
      </c>
      <c r="E252" s="1" t="s">
        <v>84</v>
      </c>
      <c r="F252" s="1" t="s">
        <v>85</v>
      </c>
      <c r="G252" s="1" t="s">
        <v>29</v>
      </c>
      <c r="H252" s="1" t="s">
        <v>30</v>
      </c>
      <c r="I252" s="1" t="s">
        <v>53</v>
      </c>
      <c r="J252" s="1" t="s">
        <v>54</v>
      </c>
      <c r="K252" s="1" t="s">
        <v>46</v>
      </c>
      <c r="L252" s="2">
        <v>46004</v>
      </c>
      <c r="M252" s="2">
        <v>46016</v>
      </c>
      <c r="N252">
        <v>1400935</v>
      </c>
      <c r="O252">
        <v>72075</v>
      </c>
      <c r="P252">
        <v>1328860</v>
      </c>
      <c r="Q252" s="1" t="s">
        <v>47</v>
      </c>
      <c r="R252" s="1" t="s">
        <v>67</v>
      </c>
      <c r="S252" s="1" t="s">
        <v>37</v>
      </c>
      <c r="T252" s="1" t="s">
        <v>37</v>
      </c>
      <c r="U252">
        <v>4.8</v>
      </c>
      <c r="V252" t="s">
        <v>56</v>
      </c>
      <c r="W252">
        <v>12</v>
      </c>
      <c r="X252" s="1" t="s">
        <v>49</v>
      </c>
    </row>
    <row r="253" spans="1:24" x14ac:dyDescent="0.55000000000000004">
      <c r="A253" s="1" t="s">
        <v>337</v>
      </c>
      <c r="B253" s="1" t="s">
        <v>93</v>
      </c>
      <c r="C253">
        <v>49</v>
      </c>
      <c r="D253" s="1" t="s">
        <v>42</v>
      </c>
      <c r="E253" s="1" t="s">
        <v>27</v>
      </c>
      <c r="F253" s="1" t="s">
        <v>28</v>
      </c>
      <c r="G253" s="1" t="s">
        <v>29</v>
      </c>
      <c r="H253" s="1" t="s">
        <v>30</v>
      </c>
      <c r="I253" s="1" t="s">
        <v>74</v>
      </c>
      <c r="J253" s="1" t="s">
        <v>54</v>
      </c>
      <c r="K253" s="1" t="s">
        <v>33</v>
      </c>
      <c r="L253" s="2">
        <v>46018</v>
      </c>
      <c r="M253" s="2">
        <v>46035</v>
      </c>
      <c r="N253">
        <v>1719367</v>
      </c>
      <c r="O253">
        <v>31870</v>
      </c>
      <c r="P253">
        <v>1687497</v>
      </c>
      <c r="Q253" s="1" t="s">
        <v>66</v>
      </c>
      <c r="R253" s="1" t="s">
        <v>109</v>
      </c>
      <c r="S253" s="1" t="s">
        <v>36</v>
      </c>
      <c r="T253" s="1" t="s">
        <v>37</v>
      </c>
      <c r="U253">
        <v>4.0999999999999996</v>
      </c>
      <c r="V253" t="s">
        <v>56</v>
      </c>
      <c r="W253">
        <v>1</v>
      </c>
      <c r="X253" s="1" t="s">
        <v>88</v>
      </c>
    </row>
    <row r="254" spans="1:24" x14ac:dyDescent="0.55000000000000004">
      <c r="A254" s="1" t="s">
        <v>338</v>
      </c>
      <c r="B254" s="1" t="s">
        <v>83</v>
      </c>
      <c r="C254">
        <v>35</v>
      </c>
      <c r="D254" s="1" t="s">
        <v>26</v>
      </c>
      <c r="E254" s="1" t="s">
        <v>90</v>
      </c>
      <c r="F254" s="1" t="s">
        <v>44</v>
      </c>
      <c r="G254" s="1" t="s">
        <v>29</v>
      </c>
      <c r="H254" s="1" t="s">
        <v>65</v>
      </c>
      <c r="I254" s="1" t="s">
        <v>31</v>
      </c>
      <c r="J254" s="1" t="s">
        <v>32</v>
      </c>
      <c r="K254" s="1" t="s">
        <v>33</v>
      </c>
      <c r="L254" s="2">
        <v>46146</v>
      </c>
      <c r="M254" s="2">
        <v>46180</v>
      </c>
      <c r="N254">
        <v>1652841</v>
      </c>
      <c r="O254">
        <v>84841</v>
      </c>
      <c r="P254">
        <v>1568000</v>
      </c>
      <c r="Q254" s="1" t="s">
        <v>34</v>
      </c>
      <c r="R254" s="1" t="s">
        <v>79</v>
      </c>
      <c r="S254" s="1" t="s">
        <v>37</v>
      </c>
      <c r="T254" s="1" t="s">
        <v>36</v>
      </c>
      <c r="U254">
        <v>4</v>
      </c>
      <c r="V254" t="s">
        <v>38</v>
      </c>
      <c r="W254">
        <v>6</v>
      </c>
      <c r="X254" s="1" t="s">
        <v>68</v>
      </c>
    </row>
    <row r="255" spans="1:24" x14ac:dyDescent="0.55000000000000004">
      <c r="A255" s="1" t="s">
        <v>339</v>
      </c>
      <c r="B255" s="1" t="s">
        <v>105</v>
      </c>
      <c r="C255">
        <v>60</v>
      </c>
      <c r="D255" s="1" t="s">
        <v>42</v>
      </c>
      <c r="E255" s="1" t="s">
        <v>84</v>
      </c>
      <c r="F255" s="1" t="s">
        <v>85</v>
      </c>
      <c r="G255" s="1" t="s">
        <v>29</v>
      </c>
      <c r="H255" s="1" t="s">
        <v>65</v>
      </c>
      <c r="I255" s="1" t="s">
        <v>74</v>
      </c>
      <c r="J255" s="1" t="s">
        <v>32</v>
      </c>
      <c r="K255" s="1" t="s">
        <v>33</v>
      </c>
      <c r="L255" s="2">
        <v>45689</v>
      </c>
      <c r="M255" s="2">
        <v>45713</v>
      </c>
      <c r="N255">
        <v>1617232</v>
      </c>
      <c r="O255">
        <v>17606</v>
      </c>
      <c r="P255">
        <v>1599626</v>
      </c>
      <c r="Q255" s="1" t="s">
        <v>55</v>
      </c>
      <c r="R255" s="1" t="s">
        <v>67</v>
      </c>
      <c r="S255" s="1" t="s">
        <v>36</v>
      </c>
      <c r="T255" s="1" t="s">
        <v>36</v>
      </c>
      <c r="U255">
        <v>3.8</v>
      </c>
      <c r="V255" t="s">
        <v>38</v>
      </c>
      <c r="W255">
        <v>2</v>
      </c>
      <c r="X255" s="1" t="s">
        <v>107</v>
      </c>
    </row>
    <row r="256" spans="1:24" x14ac:dyDescent="0.55000000000000004">
      <c r="A256" s="1" t="s">
        <v>340</v>
      </c>
      <c r="B256" s="1" t="s">
        <v>41</v>
      </c>
      <c r="C256">
        <v>52</v>
      </c>
      <c r="D256" s="1" t="s">
        <v>42</v>
      </c>
      <c r="E256" s="1" t="s">
        <v>27</v>
      </c>
      <c r="F256" s="1" t="s">
        <v>28</v>
      </c>
      <c r="G256" s="1" t="s">
        <v>29</v>
      </c>
      <c r="H256" s="1" t="s">
        <v>30</v>
      </c>
      <c r="I256" s="1" t="s">
        <v>53</v>
      </c>
      <c r="J256" s="1" t="s">
        <v>54</v>
      </c>
      <c r="K256" s="1" t="s">
        <v>46</v>
      </c>
      <c r="L256" s="2">
        <v>45823</v>
      </c>
      <c r="M256" s="2">
        <v>45860</v>
      </c>
      <c r="N256">
        <v>1342514</v>
      </c>
      <c r="O256">
        <v>51881</v>
      </c>
      <c r="P256">
        <v>1290633</v>
      </c>
      <c r="Q256" s="1" t="s">
        <v>66</v>
      </c>
      <c r="R256" s="1" t="s">
        <v>67</v>
      </c>
      <c r="S256" s="1" t="s">
        <v>36</v>
      </c>
      <c r="T256" s="1" t="s">
        <v>37</v>
      </c>
      <c r="U256">
        <v>4</v>
      </c>
      <c r="V256" t="s">
        <v>38</v>
      </c>
      <c r="W256">
        <v>7</v>
      </c>
      <c r="X256" s="1" t="s">
        <v>39</v>
      </c>
    </row>
    <row r="257" spans="1:24" x14ac:dyDescent="0.55000000000000004">
      <c r="A257" s="1" t="s">
        <v>341</v>
      </c>
      <c r="B257" s="1" t="s">
        <v>62</v>
      </c>
      <c r="C257">
        <v>40</v>
      </c>
      <c r="D257" s="1" t="s">
        <v>26</v>
      </c>
      <c r="E257" s="1" t="s">
        <v>43</v>
      </c>
      <c r="F257" s="1" t="s">
        <v>44</v>
      </c>
      <c r="G257" s="1" t="s">
        <v>29</v>
      </c>
      <c r="H257" s="1" t="s">
        <v>65</v>
      </c>
      <c r="I257" s="1" t="s">
        <v>53</v>
      </c>
      <c r="J257" s="1" t="s">
        <v>54</v>
      </c>
      <c r="K257" s="1" t="s">
        <v>46</v>
      </c>
      <c r="L257" s="2">
        <v>45818</v>
      </c>
      <c r="M257" s="2">
        <v>45837</v>
      </c>
      <c r="N257">
        <v>1339817</v>
      </c>
      <c r="O257">
        <v>47531</v>
      </c>
      <c r="P257">
        <v>1292286</v>
      </c>
      <c r="Q257" s="1" t="s">
        <v>66</v>
      </c>
      <c r="R257" s="1" t="s">
        <v>109</v>
      </c>
      <c r="S257" s="1" t="s">
        <v>36</v>
      </c>
      <c r="T257" s="1" t="s">
        <v>37</v>
      </c>
      <c r="U257">
        <v>4.7</v>
      </c>
      <c r="V257" t="s">
        <v>56</v>
      </c>
      <c r="W257">
        <v>6</v>
      </c>
      <c r="X257" s="1" t="s">
        <v>68</v>
      </c>
    </row>
    <row r="258" spans="1:24" x14ac:dyDescent="0.55000000000000004">
      <c r="A258" s="1" t="s">
        <v>342</v>
      </c>
      <c r="B258" s="1" t="s">
        <v>62</v>
      </c>
      <c r="C258">
        <v>40</v>
      </c>
      <c r="D258" s="1" t="s">
        <v>42</v>
      </c>
      <c r="E258" s="1" t="s">
        <v>90</v>
      </c>
      <c r="F258" s="1" t="s">
        <v>44</v>
      </c>
      <c r="G258" s="1" t="s">
        <v>29</v>
      </c>
      <c r="H258" s="1" t="s">
        <v>65</v>
      </c>
      <c r="I258" s="1" t="s">
        <v>59</v>
      </c>
      <c r="J258" s="1" t="s">
        <v>32</v>
      </c>
      <c r="K258" s="1" t="s">
        <v>33</v>
      </c>
      <c r="L258" s="2">
        <v>46041</v>
      </c>
      <c r="M258" s="2">
        <v>46053</v>
      </c>
      <c r="N258">
        <v>1396613</v>
      </c>
      <c r="O258">
        <v>25574</v>
      </c>
      <c r="P258">
        <v>1371039</v>
      </c>
      <c r="Q258" s="1" t="s">
        <v>34</v>
      </c>
      <c r="R258" s="1" t="s">
        <v>67</v>
      </c>
      <c r="S258" s="1" t="s">
        <v>37</v>
      </c>
      <c r="T258" s="1" t="s">
        <v>36</v>
      </c>
      <c r="U258">
        <v>4.7</v>
      </c>
      <c r="V258" t="s">
        <v>56</v>
      </c>
      <c r="W258">
        <v>1</v>
      </c>
      <c r="X258" s="1" t="s">
        <v>88</v>
      </c>
    </row>
    <row r="259" spans="1:24" x14ac:dyDescent="0.55000000000000004">
      <c r="A259" s="1" t="s">
        <v>343</v>
      </c>
      <c r="B259" s="1" t="s">
        <v>83</v>
      </c>
      <c r="C259">
        <v>30</v>
      </c>
      <c r="D259" s="1" t="s">
        <v>26</v>
      </c>
      <c r="E259" s="1" t="s">
        <v>90</v>
      </c>
      <c r="F259" s="1" t="s">
        <v>44</v>
      </c>
      <c r="G259" s="1" t="s">
        <v>29</v>
      </c>
      <c r="H259" s="1" t="s">
        <v>30</v>
      </c>
      <c r="I259" s="1" t="s">
        <v>45</v>
      </c>
      <c r="J259" s="1" t="s">
        <v>32</v>
      </c>
      <c r="K259" s="1" t="s">
        <v>33</v>
      </c>
      <c r="L259" s="2">
        <v>45661</v>
      </c>
      <c r="M259" s="2">
        <v>45701</v>
      </c>
      <c r="N259">
        <v>1577329</v>
      </c>
      <c r="O259">
        <v>45629</v>
      </c>
      <c r="P259">
        <v>1531700</v>
      </c>
      <c r="Q259" s="1" t="s">
        <v>78</v>
      </c>
      <c r="R259" s="1" t="s">
        <v>48</v>
      </c>
      <c r="S259" s="1" t="s">
        <v>36</v>
      </c>
      <c r="T259" s="1" t="s">
        <v>36</v>
      </c>
      <c r="U259">
        <v>3.9</v>
      </c>
      <c r="V259" t="s">
        <v>38</v>
      </c>
      <c r="W259">
        <v>2</v>
      </c>
      <c r="X259" s="1" t="s">
        <v>107</v>
      </c>
    </row>
    <row r="260" spans="1:24" x14ac:dyDescent="0.55000000000000004">
      <c r="A260" s="1" t="s">
        <v>344</v>
      </c>
      <c r="B260" s="1" t="s">
        <v>81</v>
      </c>
      <c r="C260">
        <v>56</v>
      </c>
      <c r="D260" s="1" t="s">
        <v>42</v>
      </c>
      <c r="E260" s="1" t="s">
        <v>27</v>
      </c>
      <c r="F260" s="1" t="s">
        <v>28</v>
      </c>
      <c r="G260" s="1" t="s">
        <v>29</v>
      </c>
      <c r="H260" s="1" t="s">
        <v>30</v>
      </c>
      <c r="I260" s="1" t="s">
        <v>74</v>
      </c>
      <c r="J260" s="1" t="s">
        <v>32</v>
      </c>
      <c r="K260" s="1" t="s">
        <v>33</v>
      </c>
      <c r="L260" s="2">
        <v>46148</v>
      </c>
      <c r="M260" s="2">
        <v>46185</v>
      </c>
      <c r="N260">
        <v>1567134</v>
      </c>
      <c r="O260">
        <v>63614</v>
      </c>
      <c r="P260">
        <v>1503520</v>
      </c>
      <c r="Q260" s="1" t="s">
        <v>78</v>
      </c>
      <c r="R260" s="1" t="s">
        <v>109</v>
      </c>
      <c r="S260" s="1" t="s">
        <v>36</v>
      </c>
      <c r="T260" s="1" t="s">
        <v>36</v>
      </c>
      <c r="U260">
        <v>3.9</v>
      </c>
      <c r="V260" t="s">
        <v>38</v>
      </c>
      <c r="W260">
        <v>6</v>
      </c>
      <c r="X260" s="1" t="s">
        <v>68</v>
      </c>
    </row>
    <row r="261" spans="1:24" x14ac:dyDescent="0.55000000000000004">
      <c r="A261" s="1" t="s">
        <v>345</v>
      </c>
      <c r="B261" s="1" t="s">
        <v>25</v>
      </c>
      <c r="C261">
        <v>30</v>
      </c>
      <c r="D261" s="1" t="s">
        <v>26</v>
      </c>
      <c r="E261" s="1" t="s">
        <v>27</v>
      </c>
      <c r="F261" s="1" t="s">
        <v>28</v>
      </c>
      <c r="G261" s="1" t="s">
        <v>29</v>
      </c>
      <c r="H261" s="1" t="s">
        <v>65</v>
      </c>
      <c r="I261" s="1" t="s">
        <v>53</v>
      </c>
      <c r="J261" s="1" t="s">
        <v>54</v>
      </c>
      <c r="K261" s="1" t="s">
        <v>46</v>
      </c>
      <c r="L261" s="2">
        <v>45733</v>
      </c>
      <c r="M261" s="2">
        <v>45773</v>
      </c>
      <c r="N261">
        <v>1872132</v>
      </c>
      <c r="O261">
        <v>88879</v>
      </c>
      <c r="P261">
        <v>1783253</v>
      </c>
      <c r="Q261" s="1" t="s">
        <v>47</v>
      </c>
      <c r="R261" s="1" t="s">
        <v>79</v>
      </c>
      <c r="S261" s="1" t="s">
        <v>36</v>
      </c>
      <c r="T261" s="1" t="s">
        <v>37</v>
      </c>
      <c r="U261">
        <v>4.3</v>
      </c>
      <c r="V261" t="s">
        <v>38</v>
      </c>
      <c r="W261">
        <v>4</v>
      </c>
      <c r="X261" s="1" t="s">
        <v>63</v>
      </c>
    </row>
    <row r="262" spans="1:24" x14ac:dyDescent="0.55000000000000004">
      <c r="A262" s="1" t="s">
        <v>346</v>
      </c>
      <c r="B262" s="1" t="s">
        <v>25</v>
      </c>
      <c r="C262">
        <v>34</v>
      </c>
      <c r="D262" s="1" t="s">
        <v>42</v>
      </c>
      <c r="E262" s="1" t="s">
        <v>43</v>
      </c>
      <c r="F262" s="1" t="s">
        <v>44</v>
      </c>
      <c r="G262" s="1" t="s">
        <v>29</v>
      </c>
      <c r="H262" s="1" t="s">
        <v>30</v>
      </c>
      <c r="I262" s="1" t="s">
        <v>31</v>
      </c>
      <c r="J262" s="1" t="s">
        <v>54</v>
      </c>
      <c r="K262" s="1" t="s">
        <v>46</v>
      </c>
      <c r="L262" s="2">
        <v>45806</v>
      </c>
      <c r="M262" s="2">
        <v>45819</v>
      </c>
      <c r="N262">
        <v>1834082</v>
      </c>
      <c r="O262">
        <v>62185</v>
      </c>
      <c r="P262">
        <v>1771897</v>
      </c>
      <c r="Q262" s="1" t="s">
        <v>47</v>
      </c>
      <c r="R262" s="1" t="s">
        <v>109</v>
      </c>
      <c r="S262" s="1" t="s">
        <v>36</v>
      </c>
      <c r="T262" s="1" t="s">
        <v>37</v>
      </c>
      <c r="U262">
        <v>3.6</v>
      </c>
      <c r="V262" t="s">
        <v>56</v>
      </c>
      <c r="W262">
        <v>6</v>
      </c>
      <c r="X262" s="1" t="s">
        <v>68</v>
      </c>
    </row>
    <row r="263" spans="1:24" x14ac:dyDescent="0.55000000000000004">
      <c r="A263" s="1" t="s">
        <v>347</v>
      </c>
      <c r="B263" s="1" t="s">
        <v>98</v>
      </c>
      <c r="C263">
        <v>46</v>
      </c>
      <c r="D263" s="1" t="s">
        <v>26</v>
      </c>
      <c r="E263" s="1" t="s">
        <v>27</v>
      </c>
      <c r="F263" s="1" t="s">
        <v>28</v>
      </c>
      <c r="G263" s="1" t="s">
        <v>29</v>
      </c>
      <c r="H263" s="1" t="s">
        <v>65</v>
      </c>
      <c r="I263" s="1" t="s">
        <v>45</v>
      </c>
      <c r="J263" s="1" t="s">
        <v>54</v>
      </c>
      <c r="K263" s="1" t="s">
        <v>46</v>
      </c>
      <c r="L263" s="2">
        <v>45773</v>
      </c>
      <c r="M263" s="2">
        <v>45781</v>
      </c>
      <c r="N263">
        <v>1829920</v>
      </c>
      <c r="O263">
        <v>43932</v>
      </c>
      <c r="P263">
        <v>1785988</v>
      </c>
      <c r="Q263" s="1" t="s">
        <v>78</v>
      </c>
      <c r="R263" s="1" t="s">
        <v>109</v>
      </c>
      <c r="S263" s="1" t="s">
        <v>37</v>
      </c>
      <c r="T263" s="1" t="s">
        <v>36</v>
      </c>
      <c r="U263">
        <v>3.4</v>
      </c>
      <c r="V263" t="s">
        <v>91</v>
      </c>
      <c r="W263">
        <v>5</v>
      </c>
      <c r="X263" s="1" t="s">
        <v>86</v>
      </c>
    </row>
    <row r="264" spans="1:24" x14ac:dyDescent="0.55000000000000004">
      <c r="A264" s="1" t="s">
        <v>348</v>
      </c>
      <c r="B264" s="1" t="s">
        <v>62</v>
      </c>
      <c r="C264">
        <v>59</v>
      </c>
      <c r="D264" s="1" t="s">
        <v>42</v>
      </c>
      <c r="E264" s="1" t="s">
        <v>52</v>
      </c>
      <c r="F264" s="1" t="s">
        <v>44</v>
      </c>
      <c r="G264" s="1" t="s">
        <v>29</v>
      </c>
      <c r="H264" s="1" t="s">
        <v>30</v>
      </c>
      <c r="I264" s="1" t="s">
        <v>31</v>
      </c>
      <c r="J264" s="1" t="s">
        <v>54</v>
      </c>
      <c r="K264" s="1" t="s">
        <v>33</v>
      </c>
      <c r="L264" s="2">
        <v>45791</v>
      </c>
      <c r="M264" s="2">
        <v>45801</v>
      </c>
      <c r="N264">
        <v>1760245</v>
      </c>
      <c r="O264">
        <v>98332</v>
      </c>
      <c r="P264">
        <v>1661913</v>
      </c>
      <c r="Q264" s="1" t="s">
        <v>66</v>
      </c>
      <c r="R264" s="1" t="s">
        <v>35</v>
      </c>
      <c r="S264" s="1" t="s">
        <v>36</v>
      </c>
      <c r="T264" s="1" t="s">
        <v>36</v>
      </c>
      <c r="U264">
        <v>4.0999999999999996</v>
      </c>
      <c r="V264" t="s">
        <v>91</v>
      </c>
      <c r="W264">
        <v>5</v>
      </c>
      <c r="X264" s="1" t="s">
        <v>86</v>
      </c>
    </row>
    <row r="265" spans="1:24" x14ac:dyDescent="0.55000000000000004">
      <c r="A265" s="1" t="s">
        <v>349</v>
      </c>
      <c r="B265" s="1" t="s">
        <v>62</v>
      </c>
      <c r="C265">
        <v>32</v>
      </c>
      <c r="D265" s="1" t="s">
        <v>26</v>
      </c>
      <c r="E265" s="1" t="s">
        <v>27</v>
      </c>
      <c r="F265" s="1" t="s">
        <v>28</v>
      </c>
      <c r="G265" s="1" t="s">
        <v>29</v>
      </c>
      <c r="H265" s="1" t="s">
        <v>65</v>
      </c>
      <c r="I265" s="1" t="s">
        <v>45</v>
      </c>
      <c r="J265" s="1" t="s">
        <v>54</v>
      </c>
      <c r="K265" s="1" t="s">
        <v>33</v>
      </c>
      <c r="L265" s="2">
        <v>45807</v>
      </c>
      <c r="M265" s="2">
        <v>45818</v>
      </c>
      <c r="N265">
        <v>1421288</v>
      </c>
      <c r="O265">
        <v>28829</v>
      </c>
      <c r="P265">
        <v>1392459</v>
      </c>
      <c r="Q265" s="1" t="s">
        <v>47</v>
      </c>
      <c r="R265" s="1" t="s">
        <v>109</v>
      </c>
      <c r="S265" s="1" t="s">
        <v>37</v>
      </c>
      <c r="T265" s="1" t="s">
        <v>36</v>
      </c>
      <c r="U265">
        <v>3.9</v>
      </c>
      <c r="V265" t="s">
        <v>56</v>
      </c>
      <c r="W265">
        <v>6</v>
      </c>
      <c r="X265" s="1" t="s">
        <v>68</v>
      </c>
    </row>
    <row r="266" spans="1:24" x14ac:dyDescent="0.55000000000000004">
      <c r="A266" s="1" t="s">
        <v>350</v>
      </c>
      <c r="B266" s="1" t="s">
        <v>62</v>
      </c>
      <c r="C266">
        <v>33</v>
      </c>
      <c r="D266" s="1" t="s">
        <v>26</v>
      </c>
      <c r="E266" s="1" t="s">
        <v>71</v>
      </c>
      <c r="F266" s="1" t="s">
        <v>72</v>
      </c>
      <c r="G266" s="1" t="s">
        <v>29</v>
      </c>
      <c r="H266" s="1" t="s">
        <v>30</v>
      </c>
      <c r="I266" s="1" t="s">
        <v>53</v>
      </c>
      <c r="J266" s="1" t="s">
        <v>32</v>
      </c>
      <c r="K266" s="1" t="s">
        <v>33</v>
      </c>
      <c r="L266" s="2">
        <v>45842</v>
      </c>
      <c r="M266" s="2">
        <v>45866</v>
      </c>
      <c r="N266">
        <v>1735779</v>
      </c>
      <c r="O266">
        <v>95826</v>
      </c>
      <c r="P266">
        <v>1639953</v>
      </c>
      <c r="Q266" s="1" t="s">
        <v>66</v>
      </c>
      <c r="R266" s="1" t="s">
        <v>79</v>
      </c>
      <c r="S266" s="1" t="s">
        <v>36</v>
      </c>
      <c r="T266" s="1" t="s">
        <v>36</v>
      </c>
      <c r="U266">
        <v>4.9000000000000004</v>
      </c>
      <c r="V266" t="s">
        <v>38</v>
      </c>
      <c r="W266">
        <v>7</v>
      </c>
      <c r="X266" s="1" t="s">
        <v>39</v>
      </c>
    </row>
    <row r="267" spans="1:24" x14ac:dyDescent="0.55000000000000004">
      <c r="A267" s="1" t="s">
        <v>351</v>
      </c>
      <c r="B267" s="1" t="s">
        <v>70</v>
      </c>
      <c r="C267">
        <v>55</v>
      </c>
      <c r="D267" s="1" t="s">
        <v>42</v>
      </c>
      <c r="E267" s="1" t="s">
        <v>71</v>
      </c>
      <c r="F267" s="1" t="s">
        <v>72</v>
      </c>
      <c r="G267" s="1" t="s">
        <v>29</v>
      </c>
      <c r="H267" s="1" t="s">
        <v>65</v>
      </c>
      <c r="I267" s="1" t="s">
        <v>53</v>
      </c>
      <c r="J267" s="1" t="s">
        <v>54</v>
      </c>
      <c r="K267" s="1" t="s">
        <v>46</v>
      </c>
      <c r="L267" s="2">
        <v>46039</v>
      </c>
      <c r="M267" s="2">
        <v>46073</v>
      </c>
      <c r="N267">
        <v>1308644</v>
      </c>
      <c r="O267">
        <v>10926</v>
      </c>
      <c r="P267">
        <v>1297718</v>
      </c>
      <c r="Q267" s="1" t="s">
        <v>78</v>
      </c>
      <c r="R267" s="1" t="s">
        <v>67</v>
      </c>
      <c r="S267" s="1" t="s">
        <v>36</v>
      </c>
      <c r="T267" s="1" t="s">
        <v>37</v>
      </c>
      <c r="U267">
        <v>4.9000000000000004</v>
      </c>
      <c r="V267" t="s">
        <v>38</v>
      </c>
      <c r="W267">
        <v>2</v>
      </c>
      <c r="X267" s="1" t="s">
        <v>107</v>
      </c>
    </row>
    <row r="268" spans="1:24" x14ac:dyDescent="0.55000000000000004">
      <c r="A268" s="1" t="s">
        <v>352</v>
      </c>
      <c r="B268" s="1" t="s">
        <v>51</v>
      </c>
      <c r="C268">
        <v>53</v>
      </c>
      <c r="D268" s="1" t="s">
        <v>26</v>
      </c>
      <c r="E268" s="1" t="s">
        <v>52</v>
      </c>
      <c r="F268" s="1" t="s">
        <v>44</v>
      </c>
      <c r="G268" s="1" t="s">
        <v>29</v>
      </c>
      <c r="H268" s="1" t="s">
        <v>65</v>
      </c>
      <c r="I268" s="1" t="s">
        <v>45</v>
      </c>
      <c r="J268" s="1" t="s">
        <v>54</v>
      </c>
      <c r="K268" s="1" t="s">
        <v>33</v>
      </c>
      <c r="L268" s="2">
        <v>45877</v>
      </c>
      <c r="M268" s="2">
        <v>45891</v>
      </c>
      <c r="N268">
        <v>1339358</v>
      </c>
      <c r="O268">
        <v>53110</v>
      </c>
      <c r="P268">
        <v>1286248</v>
      </c>
      <c r="Q268" s="1" t="s">
        <v>55</v>
      </c>
      <c r="R268" s="1" t="s">
        <v>79</v>
      </c>
      <c r="S268" s="1" t="s">
        <v>37</v>
      </c>
      <c r="T268" s="1" t="s">
        <v>36</v>
      </c>
      <c r="U268">
        <v>3.2</v>
      </c>
      <c r="V268" t="s">
        <v>56</v>
      </c>
      <c r="W268">
        <v>8</v>
      </c>
      <c r="X268" s="1" t="s">
        <v>57</v>
      </c>
    </row>
    <row r="269" spans="1:24" x14ac:dyDescent="0.55000000000000004">
      <c r="A269" s="1" t="s">
        <v>353</v>
      </c>
      <c r="B269" s="1" t="s">
        <v>105</v>
      </c>
      <c r="C269">
        <v>27</v>
      </c>
      <c r="D269" s="1" t="s">
        <v>26</v>
      </c>
      <c r="E269" s="1" t="s">
        <v>84</v>
      </c>
      <c r="F269" s="1" t="s">
        <v>85</v>
      </c>
      <c r="G269" s="1" t="s">
        <v>29</v>
      </c>
      <c r="H269" s="1" t="s">
        <v>30</v>
      </c>
      <c r="I269" s="1" t="s">
        <v>53</v>
      </c>
      <c r="J269" s="1" t="s">
        <v>32</v>
      </c>
      <c r="K269" s="1" t="s">
        <v>33</v>
      </c>
      <c r="L269" s="2">
        <v>46077</v>
      </c>
      <c r="M269" s="2">
        <v>46115</v>
      </c>
      <c r="N269">
        <v>1821973</v>
      </c>
      <c r="O269">
        <v>63745</v>
      </c>
      <c r="P269">
        <v>1758228</v>
      </c>
      <c r="Q269" s="1" t="s">
        <v>78</v>
      </c>
      <c r="R269" s="1" t="s">
        <v>35</v>
      </c>
      <c r="S269" s="1" t="s">
        <v>36</v>
      </c>
      <c r="T269" s="1" t="s">
        <v>37</v>
      </c>
      <c r="U269">
        <v>3.4</v>
      </c>
      <c r="V269" t="s">
        <v>38</v>
      </c>
      <c r="W269">
        <v>4</v>
      </c>
      <c r="X269" s="1" t="s">
        <v>63</v>
      </c>
    </row>
    <row r="270" spans="1:24" x14ac:dyDescent="0.55000000000000004">
      <c r="A270" s="1" t="s">
        <v>354</v>
      </c>
      <c r="B270" s="1" t="s">
        <v>70</v>
      </c>
      <c r="C270">
        <v>40</v>
      </c>
      <c r="D270" s="1" t="s">
        <v>26</v>
      </c>
      <c r="E270" s="1" t="s">
        <v>52</v>
      </c>
      <c r="F270" s="1" t="s">
        <v>44</v>
      </c>
      <c r="G270" s="1" t="s">
        <v>29</v>
      </c>
      <c r="H270" s="1" t="s">
        <v>65</v>
      </c>
      <c r="I270" s="1" t="s">
        <v>31</v>
      </c>
      <c r="J270" s="1" t="s">
        <v>54</v>
      </c>
      <c r="K270" s="1" t="s">
        <v>46</v>
      </c>
      <c r="L270" s="2">
        <v>45741</v>
      </c>
      <c r="M270" s="2">
        <v>45776</v>
      </c>
      <c r="N270">
        <v>1509509</v>
      </c>
      <c r="O270">
        <v>10701</v>
      </c>
      <c r="P270">
        <v>1498808</v>
      </c>
      <c r="Q270" s="1" t="s">
        <v>78</v>
      </c>
      <c r="R270" s="1" t="s">
        <v>67</v>
      </c>
      <c r="S270" s="1" t="s">
        <v>36</v>
      </c>
      <c r="T270" s="1" t="s">
        <v>36</v>
      </c>
      <c r="U270">
        <v>3.5</v>
      </c>
      <c r="V270" t="s">
        <v>38</v>
      </c>
      <c r="W270">
        <v>4</v>
      </c>
      <c r="X270" s="1" t="s">
        <v>63</v>
      </c>
    </row>
    <row r="271" spans="1:24" x14ac:dyDescent="0.55000000000000004">
      <c r="A271" s="1" t="s">
        <v>355</v>
      </c>
      <c r="B271" s="1" t="s">
        <v>98</v>
      </c>
      <c r="C271">
        <v>56</v>
      </c>
      <c r="D271" s="1" t="s">
        <v>26</v>
      </c>
      <c r="E271" s="1" t="s">
        <v>90</v>
      </c>
      <c r="F271" s="1" t="s">
        <v>44</v>
      </c>
      <c r="G271" s="1" t="s">
        <v>29</v>
      </c>
      <c r="H271" s="1" t="s">
        <v>30</v>
      </c>
      <c r="I271" s="1" t="s">
        <v>74</v>
      </c>
      <c r="J271" s="1" t="s">
        <v>54</v>
      </c>
      <c r="K271" s="1" t="s">
        <v>46</v>
      </c>
      <c r="L271" s="2">
        <v>46186</v>
      </c>
      <c r="M271" s="2">
        <v>46231</v>
      </c>
      <c r="N271">
        <v>1849462</v>
      </c>
      <c r="O271">
        <v>92984</v>
      </c>
      <c r="P271">
        <v>1756478</v>
      </c>
      <c r="Q271" s="1" t="s">
        <v>66</v>
      </c>
      <c r="R271" s="1" t="s">
        <v>48</v>
      </c>
      <c r="S271" s="1" t="s">
        <v>37</v>
      </c>
      <c r="T271" s="1" t="s">
        <v>37</v>
      </c>
      <c r="U271">
        <v>4</v>
      </c>
      <c r="V271" t="s">
        <v>38</v>
      </c>
      <c r="W271">
        <v>7</v>
      </c>
      <c r="X271" s="1" t="s">
        <v>39</v>
      </c>
    </row>
    <row r="272" spans="1:24" x14ac:dyDescent="0.55000000000000004">
      <c r="A272" s="1" t="s">
        <v>356</v>
      </c>
      <c r="B272" s="1" t="s">
        <v>62</v>
      </c>
      <c r="C272">
        <v>50</v>
      </c>
      <c r="D272" s="1" t="s">
        <v>42</v>
      </c>
      <c r="E272" s="1" t="s">
        <v>84</v>
      </c>
      <c r="F272" s="1" t="s">
        <v>85</v>
      </c>
      <c r="G272" s="1" t="s">
        <v>29</v>
      </c>
      <c r="H272" s="1" t="s">
        <v>65</v>
      </c>
      <c r="I272" s="1" t="s">
        <v>74</v>
      </c>
      <c r="J272" s="1" t="s">
        <v>32</v>
      </c>
      <c r="K272" s="1" t="s">
        <v>46</v>
      </c>
      <c r="L272" s="2">
        <v>45901</v>
      </c>
      <c r="M272" s="2">
        <v>45918</v>
      </c>
      <c r="N272">
        <v>1722005</v>
      </c>
      <c r="O272">
        <v>50616</v>
      </c>
      <c r="P272">
        <v>1671389</v>
      </c>
      <c r="Q272" s="1" t="s">
        <v>66</v>
      </c>
      <c r="R272" s="1" t="s">
        <v>109</v>
      </c>
      <c r="S272" s="1" t="s">
        <v>37</v>
      </c>
      <c r="T272" s="1" t="s">
        <v>37</v>
      </c>
      <c r="U272">
        <v>4.7</v>
      </c>
      <c r="V272" t="s">
        <v>56</v>
      </c>
      <c r="W272">
        <v>9</v>
      </c>
      <c r="X272" s="1" t="s">
        <v>103</v>
      </c>
    </row>
    <row r="273" spans="1:24" x14ac:dyDescent="0.55000000000000004">
      <c r="A273" s="1" t="s">
        <v>357</v>
      </c>
      <c r="B273" s="1" t="s">
        <v>81</v>
      </c>
      <c r="C273">
        <v>36</v>
      </c>
      <c r="D273" s="1" t="s">
        <v>42</v>
      </c>
      <c r="E273" s="1" t="s">
        <v>43</v>
      </c>
      <c r="F273" s="1" t="s">
        <v>44</v>
      </c>
      <c r="G273" s="1" t="s">
        <v>29</v>
      </c>
      <c r="H273" s="1" t="s">
        <v>65</v>
      </c>
      <c r="I273" s="1" t="s">
        <v>45</v>
      </c>
      <c r="J273" s="1" t="s">
        <v>32</v>
      </c>
      <c r="K273" s="1" t="s">
        <v>46</v>
      </c>
      <c r="L273" s="2">
        <v>46143</v>
      </c>
      <c r="M273" s="2">
        <v>46186</v>
      </c>
      <c r="N273">
        <v>1425249</v>
      </c>
      <c r="O273">
        <v>18792</v>
      </c>
      <c r="P273">
        <v>1406457</v>
      </c>
      <c r="Q273" s="1" t="s">
        <v>34</v>
      </c>
      <c r="R273" s="1" t="s">
        <v>79</v>
      </c>
      <c r="S273" s="1" t="s">
        <v>36</v>
      </c>
      <c r="T273" s="1" t="s">
        <v>36</v>
      </c>
      <c r="U273">
        <v>3</v>
      </c>
      <c r="V273" t="s">
        <v>38</v>
      </c>
      <c r="W273">
        <v>6</v>
      </c>
      <c r="X273" s="1" t="s">
        <v>68</v>
      </c>
    </row>
    <row r="274" spans="1:24" x14ac:dyDescent="0.55000000000000004">
      <c r="A274" s="1" t="s">
        <v>358</v>
      </c>
      <c r="B274" s="1" t="s">
        <v>83</v>
      </c>
      <c r="C274">
        <v>58</v>
      </c>
      <c r="D274" s="1" t="s">
        <v>26</v>
      </c>
      <c r="E274" s="1" t="s">
        <v>52</v>
      </c>
      <c r="F274" s="1" t="s">
        <v>44</v>
      </c>
      <c r="G274" s="1" t="s">
        <v>29</v>
      </c>
      <c r="H274" s="1" t="s">
        <v>65</v>
      </c>
      <c r="I274" s="1" t="s">
        <v>74</v>
      </c>
      <c r="J274" s="1" t="s">
        <v>32</v>
      </c>
      <c r="K274" s="1" t="s">
        <v>46</v>
      </c>
      <c r="L274" s="2">
        <v>45855</v>
      </c>
      <c r="M274" s="2">
        <v>45865</v>
      </c>
      <c r="N274">
        <v>1386202</v>
      </c>
      <c r="O274">
        <v>11171</v>
      </c>
      <c r="P274">
        <v>1375031</v>
      </c>
      <c r="Q274" s="1" t="s">
        <v>55</v>
      </c>
      <c r="R274" s="1" t="s">
        <v>79</v>
      </c>
      <c r="S274" s="1" t="s">
        <v>36</v>
      </c>
      <c r="T274" s="1" t="s">
        <v>37</v>
      </c>
      <c r="U274">
        <v>4.3</v>
      </c>
      <c r="V274" t="s">
        <v>91</v>
      </c>
      <c r="W274">
        <v>7</v>
      </c>
      <c r="X274" s="1" t="s">
        <v>39</v>
      </c>
    </row>
    <row r="275" spans="1:24" x14ac:dyDescent="0.55000000000000004">
      <c r="A275" s="1" t="s">
        <v>359</v>
      </c>
      <c r="B275" s="1" t="s">
        <v>62</v>
      </c>
      <c r="C275">
        <v>24</v>
      </c>
      <c r="D275" s="1" t="s">
        <v>42</v>
      </c>
      <c r="E275" s="1" t="s">
        <v>90</v>
      </c>
      <c r="F275" s="1" t="s">
        <v>44</v>
      </c>
      <c r="G275" s="1" t="s">
        <v>29</v>
      </c>
      <c r="H275" s="1" t="s">
        <v>77</v>
      </c>
      <c r="I275" s="1" t="s">
        <v>53</v>
      </c>
      <c r="J275" s="1" t="s">
        <v>54</v>
      </c>
      <c r="K275" s="1" t="s">
        <v>33</v>
      </c>
      <c r="L275" s="2">
        <v>45797</v>
      </c>
      <c r="M275" s="2">
        <v>45836</v>
      </c>
      <c r="N275">
        <v>1509503</v>
      </c>
      <c r="O275">
        <v>86008</v>
      </c>
      <c r="P275">
        <v>1423495</v>
      </c>
      <c r="Q275" s="1" t="s">
        <v>66</v>
      </c>
      <c r="R275" s="1" t="s">
        <v>48</v>
      </c>
      <c r="S275" s="1" t="s">
        <v>36</v>
      </c>
      <c r="T275" s="1" t="s">
        <v>37</v>
      </c>
      <c r="U275">
        <v>5</v>
      </c>
      <c r="V275" t="s">
        <v>38</v>
      </c>
      <c r="W275">
        <v>6</v>
      </c>
      <c r="X275" s="1" t="s">
        <v>68</v>
      </c>
    </row>
    <row r="276" spans="1:24" x14ac:dyDescent="0.55000000000000004">
      <c r="A276" s="1" t="s">
        <v>360</v>
      </c>
      <c r="B276" s="1" t="s">
        <v>81</v>
      </c>
      <c r="C276">
        <v>48</v>
      </c>
      <c r="D276" s="1" t="s">
        <v>42</v>
      </c>
      <c r="E276" s="1" t="s">
        <v>52</v>
      </c>
      <c r="F276" s="1" t="s">
        <v>44</v>
      </c>
      <c r="G276" s="1" t="s">
        <v>29</v>
      </c>
      <c r="H276" s="1" t="s">
        <v>77</v>
      </c>
      <c r="I276" s="1" t="s">
        <v>74</v>
      </c>
      <c r="J276" s="1" t="s">
        <v>54</v>
      </c>
      <c r="K276" s="1" t="s">
        <v>33</v>
      </c>
      <c r="L276" s="2">
        <v>45937</v>
      </c>
      <c r="M276" s="2">
        <v>45950</v>
      </c>
      <c r="N276">
        <v>1415611</v>
      </c>
      <c r="O276">
        <v>28965</v>
      </c>
      <c r="P276">
        <v>1386646</v>
      </c>
      <c r="Q276" s="1" t="s">
        <v>55</v>
      </c>
      <c r="R276" s="1" t="s">
        <v>109</v>
      </c>
      <c r="S276" s="1" t="s">
        <v>37</v>
      </c>
      <c r="T276" s="1" t="s">
        <v>36</v>
      </c>
      <c r="U276">
        <v>4.4000000000000004</v>
      </c>
      <c r="V276" t="s">
        <v>56</v>
      </c>
      <c r="W276">
        <v>10</v>
      </c>
      <c r="X276" s="1" t="s">
        <v>75</v>
      </c>
    </row>
    <row r="277" spans="1:24" x14ac:dyDescent="0.55000000000000004">
      <c r="A277" s="1" t="s">
        <v>361</v>
      </c>
      <c r="B277" s="1" t="s">
        <v>81</v>
      </c>
      <c r="C277">
        <v>33</v>
      </c>
      <c r="D277" s="1" t="s">
        <v>42</v>
      </c>
      <c r="E277" s="1" t="s">
        <v>90</v>
      </c>
      <c r="F277" s="1" t="s">
        <v>44</v>
      </c>
      <c r="G277" s="1" t="s">
        <v>29</v>
      </c>
      <c r="H277" s="1" t="s">
        <v>65</v>
      </c>
      <c r="I277" s="1" t="s">
        <v>59</v>
      </c>
      <c r="J277" s="1" t="s">
        <v>32</v>
      </c>
      <c r="K277" s="1" t="s">
        <v>33</v>
      </c>
      <c r="L277" s="2">
        <v>45921</v>
      </c>
      <c r="M277" s="2">
        <v>45966</v>
      </c>
      <c r="N277">
        <v>1812909</v>
      </c>
      <c r="O277">
        <v>48437</v>
      </c>
      <c r="P277">
        <v>1764472</v>
      </c>
      <c r="Q277" s="1" t="s">
        <v>47</v>
      </c>
      <c r="R277" s="1" t="s">
        <v>48</v>
      </c>
      <c r="S277" s="1" t="s">
        <v>36</v>
      </c>
      <c r="T277" s="1" t="s">
        <v>37</v>
      </c>
      <c r="U277">
        <v>3.1</v>
      </c>
      <c r="V277" t="s">
        <v>38</v>
      </c>
      <c r="W277">
        <v>11</v>
      </c>
      <c r="X277" s="1" t="s">
        <v>60</v>
      </c>
    </row>
    <row r="278" spans="1:24" x14ac:dyDescent="0.55000000000000004">
      <c r="A278" s="1" t="s">
        <v>362</v>
      </c>
      <c r="B278" s="1" t="s">
        <v>83</v>
      </c>
      <c r="C278">
        <v>24</v>
      </c>
      <c r="D278" s="1" t="s">
        <v>26</v>
      </c>
      <c r="E278" s="1" t="s">
        <v>90</v>
      </c>
      <c r="F278" s="1" t="s">
        <v>44</v>
      </c>
      <c r="G278" s="1" t="s">
        <v>29</v>
      </c>
      <c r="H278" s="1" t="s">
        <v>65</v>
      </c>
      <c r="I278" s="1" t="s">
        <v>59</v>
      </c>
      <c r="J278" s="1" t="s">
        <v>54</v>
      </c>
      <c r="K278" s="1" t="s">
        <v>33</v>
      </c>
      <c r="L278" s="2">
        <v>45923</v>
      </c>
      <c r="M278" s="2">
        <v>45944</v>
      </c>
      <c r="N278">
        <v>1643417</v>
      </c>
      <c r="O278">
        <v>75297</v>
      </c>
      <c r="P278">
        <v>1568120</v>
      </c>
      <c r="Q278" s="1" t="s">
        <v>47</v>
      </c>
      <c r="R278" s="1" t="s">
        <v>79</v>
      </c>
      <c r="S278" s="1" t="s">
        <v>37</v>
      </c>
      <c r="T278" s="1" t="s">
        <v>37</v>
      </c>
      <c r="U278">
        <v>4.9000000000000004</v>
      </c>
      <c r="V278" t="s">
        <v>38</v>
      </c>
      <c r="W278">
        <v>10</v>
      </c>
      <c r="X278" s="1" t="s">
        <v>75</v>
      </c>
    </row>
    <row r="279" spans="1:24" x14ac:dyDescent="0.55000000000000004">
      <c r="A279" s="1" t="s">
        <v>363</v>
      </c>
      <c r="B279" s="1" t="s">
        <v>83</v>
      </c>
      <c r="C279">
        <v>33</v>
      </c>
      <c r="D279" s="1" t="s">
        <v>26</v>
      </c>
      <c r="E279" s="1" t="s">
        <v>27</v>
      </c>
      <c r="F279" s="1" t="s">
        <v>28</v>
      </c>
      <c r="G279" s="1" t="s">
        <v>29</v>
      </c>
      <c r="H279" s="1" t="s">
        <v>65</v>
      </c>
      <c r="I279" s="1" t="s">
        <v>59</v>
      </c>
      <c r="J279" s="1" t="s">
        <v>32</v>
      </c>
      <c r="K279" s="1" t="s">
        <v>33</v>
      </c>
      <c r="L279" s="2">
        <v>45715</v>
      </c>
      <c r="M279" s="2">
        <v>45732</v>
      </c>
      <c r="N279">
        <v>1397954</v>
      </c>
      <c r="O279">
        <v>68452</v>
      </c>
      <c r="P279">
        <v>1329502</v>
      </c>
      <c r="Q279" s="1" t="s">
        <v>34</v>
      </c>
      <c r="R279" s="1" t="s">
        <v>35</v>
      </c>
      <c r="S279" s="1" t="s">
        <v>37</v>
      </c>
      <c r="T279" s="1" t="s">
        <v>36</v>
      </c>
      <c r="U279">
        <v>4.5999999999999996</v>
      </c>
      <c r="V279" t="s">
        <v>56</v>
      </c>
      <c r="W279">
        <v>3</v>
      </c>
      <c r="X279" s="1" t="s">
        <v>96</v>
      </c>
    </row>
    <row r="280" spans="1:24" x14ac:dyDescent="0.55000000000000004">
      <c r="A280" s="1" t="s">
        <v>364</v>
      </c>
      <c r="B280" s="1" t="s">
        <v>62</v>
      </c>
      <c r="C280">
        <v>31</v>
      </c>
      <c r="D280" s="1" t="s">
        <v>26</v>
      </c>
      <c r="E280" s="1" t="s">
        <v>84</v>
      </c>
      <c r="F280" s="1" t="s">
        <v>85</v>
      </c>
      <c r="G280" s="1" t="s">
        <v>29</v>
      </c>
      <c r="H280" s="1" t="s">
        <v>30</v>
      </c>
      <c r="I280" s="1" t="s">
        <v>45</v>
      </c>
      <c r="J280" s="1" t="s">
        <v>54</v>
      </c>
      <c r="K280" s="1" t="s">
        <v>33</v>
      </c>
      <c r="L280" s="2">
        <v>46005</v>
      </c>
      <c r="M280" s="2">
        <v>46023</v>
      </c>
      <c r="N280">
        <v>1532672</v>
      </c>
      <c r="O280">
        <v>51032</v>
      </c>
      <c r="P280">
        <v>1481640</v>
      </c>
      <c r="Q280" s="1" t="s">
        <v>34</v>
      </c>
      <c r="R280" s="1" t="s">
        <v>48</v>
      </c>
      <c r="S280" s="1" t="s">
        <v>37</v>
      </c>
      <c r="T280" s="1" t="s">
        <v>37</v>
      </c>
      <c r="U280">
        <v>3.4</v>
      </c>
      <c r="V280" t="s">
        <v>56</v>
      </c>
      <c r="W280">
        <v>1</v>
      </c>
      <c r="X280" s="1" t="s">
        <v>88</v>
      </c>
    </row>
    <row r="281" spans="1:24" x14ac:dyDescent="0.55000000000000004">
      <c r="A281" s="1" t="s">
        <v>365</v>
      </c>
      <c r="B281" s="1" t="s">
        <v>105</v>
      </c>
      <c r="C281">
        <v>27</v>
      </c>
      <c r="D281" s="1" t="s">
        <v>42</v>
      </c>
      <c r="E281" s="1" t="s">
        <v>52</v>
      </c>
      <c r="F281" s="1" t="s">
        <v>44</v>
      </c>
      <c r="G281" s="1" t="s">
        <v>29</v>
      </c>
      <c r="H281" s="1" t="s">
        <v>65</v>
      </c>
      <c r="I281" s="1" t="s">
        <v>53</v>
      </c>
      <c r="J281" s="1" t="s">
        <v>54</v>
      </c>
      <c r="K281" s="1" t="s">
        <v>33</v>
      </c>
      <c r="L281" s="2">
        <v>45905</v>
      </c>
      <c r="M281" s="2">
        <v>45921</v>
      </c>
      <c r="N281">
        <v>1467926</v>
      </c>
      <c r="O281">
        <v>72515</v>
      </c>
      <c r="P281">
        <v>1395411</v>
      </c>
      <c r="Q281" s="1" t="s">
        <v>78</v>
      </c>
      <c r="R281" s="1" t="s">
        <v>35</v>
      </c>
      <c r="S281" s="1" t="s">
        <v>37</v>
      </c>
      <c r="T281" s="1" t="s">
        <v>36</v>
      </c>
      <c r="U281">
        <v>4.8</v>
      </c>
      <c r="V281" t="s">
        <v>56</v>
      </c>
      <c r="W281">
        <v>9</v>
      </c>
      <c r="X281" s="1" t="s">
        <v>103</v>
      </c>
    </row>
    <row r="282" spans="1:24" x14ac:dyDescent="0.55000000000000004">
      <c r="A282" s="1" t="s">
        <v>366</v>
      </c>
      <c r="B282" s="1" t="s">
        <v>105</v>
      </c>
      <c r="C282">
        <v>44</v>
      </c>
      <c r="D282" s="1" t="s">
        <v>42</v>
      </c>
      <c r="E282" s="1" t="s">
        <v>27</v>
      </c>
      <c r="F282" s="1" t="s">
        <v>28</v>
      </c>
      <c r="G282" s="1" t="s">
        <v>29</v>
      </c>
      <c r="H282" s="1" t="s">
        <v>65</v>
      </c>
      <c r="I282" s="1" t="s">
        <v>31</v>
      </c>
      <c r="J282" s="1" t="s">
        <v>32</v>
      </c>
      <c r="K282" s="1" t="s">
        <v>46</v>
      </c>
      <c r="L282" s="2">
        <v>46016</v>
      </c>
      <c r="M282" s="2">
        <v>46031</v>
      </c>
      <c r="N282">
        <v>1452657</v>
      </c>
      <c r="O282">
        <v>88211</v>
      </c>
      <c r="P282">
        <v>1364446</v>
      </c>
      <c r="Q282" s="1" t="s">
        <v>66</v>
      </c>
      <c r="R282" s="1" t="s">
        <v>79</v>
      </c>
      <c r="S282" s="1" t="s">
        <v>36</v>
      </c>
      <c r="T282" s="1" t="s">
        <v>37</v>
      </c>
      <c r="U282">
        <v>4.2</v>
      </c>
      <c r="V282" t="s">
        <v>56</v>
      </c>
      <c r="W282">
        <v>1</v>
      </c>
      <c r="X282" s="1" t="s">
        <v>88</v>
      </c>
    </row>
    <row r="283" spans="1:24" x14ac:dyDescent="0.55000000000000004">
      <c r="A283" s="1" t="s">
        <v>367</v>
      </c>
      <c r="B283" s="1" t="s">
        <v>98</v>
      </c>
      <c r="C283">
        <v>21</v>
      </c>
      <c r="D283" s="1" t="s">
        <v>42</v>
      </c>
      <c r="E283" s="1" t="s">
        <v>52</v>
      </c>
      <c r="F283" s="1" t="s">
        <v>44</v>
      </c>
      <c r="G283" s="1" t="s">
        <v>29</v>
      </c>
      <c r="H283" s="1" t="s">
        <v>30</v>
      </c>
      <c r="I283" s="1" t="s">
        <v>74</v>
      </c>
      <c r="J283" s="1" t="s">
        <v>54</v>
      </c>
      <c r="K283" s="1" t="s">
        <v>46</v>
      </c>
      <c r="L283" s="2">
        <v>45739</v>
      </c>
      <c r="M283" s="2">
        <v>45755</v>
      </c>
      <c r="N283">
        <v>1547195</v>
      </c>
      <c r="O283">
        <v>15481</v>
      </c>
      <c r="P283">
        <v>1531714</v>
      </c>
      <c r="Q283" s="1" t="s">
        <v>34</v>
      </c>
      <c r="R283" s="1" t="s">
        <v>79</v>
      </c>
      <c r="S283" s="1" t="s">
        <v>37</v>
      </c>
      <c r="T283" s="1" t="s">
        <v>37</v>
      </c>
      <c r="U283">
        <v>3.4</v>
      </c>
      <c r="V283" t="s">
        <v>56</v>
      </c>
      <c r="W283">
        <v>4</v>
      </c>
      <c r="X283" s="1" t="s">
        <v>63</v>
      </c>
    </row>
    <row r="284" spans="1:24" x14ac:dyDescent="0.55000000000000004">
      <c r="A284" s="1" t="s">
        <v>368</v>
      </c>
      <c r="B284" s="1" t="s">
        <v>25</v>
      </c>
      <c r="C284">
        <v>49</v>
      </c>
      <c r="D284" s="1" t="s">
        <v>26</v>
      </c>
      <c r="E284" s="1" t="s">
        <v>71</v>
      </c>
      <c r="F284" s="1" t="s">
        <v>72</v>
      </c>
      <c r="G284" s="1" t="s">
        <v>29</v>
      </c>
      <c r="H284" s="1" t="s">
        <v>65</v>
      </c>
      <c r="I284" s="1" t="s">
        <v>74</v>
      </c>
      <c r="J284" s="1" t="s">
        <v>32</v>
      </c>
      <c r="K284" s="1" t="s">
        <v>33</v>
      </c>
      <c r="L284" s="2">
        <v>45706</v>
      </c>
      <c r="M284" s="2">
        <v>45716</v>
      </c>
      <c r="N284">
        <v>1624320</v>
      </c>
      <c r="O284">
        <v>41536</v>
      </c>
      <c r="P284">
        <v>1582784</v>
      </c>
      <c r="Q284" s="1" t="s">
        <v>78</v>
      </c>
      <c r="R284" s="1" t="s">
        <v>79</v>
      </c>
      <c r="S284" s="1" t="s">
        <v>36</v>
      </c>
      <c r="T284" s="1" t="s">
        <v>36</v>
      </c>
      <c r="U284">
        <v>3.5</v>
      </c>
      <c r="V284" t="s">
        <v>91</v>
      </c>
      <c r="W284">
        <v>2</v>
      </c>
      <c r="X284" s="1" t="s">
        <v>107</v>
      </c>
    </row>
    <row r="285" spans="1:24" x14ac:dyDescent="0.55000000000000004">
      <c r="A285" s="1" t="s">
        <v>369</v>
      </c>
      <c r="B285" s="1" t="s">
        <v>93</v>
      </c>
      <c r="C285">
        <v>51</v>
      </c>
      <c r="D285" s="1" t="s">
        <v>26</v>
      </c>
      <c r="E285" s="1" t="s">
        <v>52</v>
      </c>
      <c r="F285" s="1" t="s">
        <v>44</v>
      </c>
      <c r="G285" s="1" t="s">
        <v>29</v>
      </c>
      <c r="H285" s="1" t="s">
        <v>30</v>
      </c>
      <c r="I285" s="1" t="s">
        <v>59</v>
      </c>
      <c r="J285" s="1" t="s">
        <v>54</v>
      </c>
      <c r="K285" s="1" t="s">
        <v>46</v>
      </c>
      <c r="L285" s="2">
        <v>45727</v>
      </c>
      <c r="M285" s="2">
        <v>45739</v>
      </c>
      <c r="N285">
        <v>1658699</v>
      </c>
      <c r="O285">
        <v>35149</v>
      </c>
      <c r="P285">
        <v>1623550</v>
      </c>
      <c r="Q285" s="1" t="s">
        <v>47</v>
      </c>
      <c r="R285" s="1" t="s">
        <v>48</v>
      </c>
      <c r="S285" s="1" t="s">
        <v>37</v>
      </c>
      <c r="T285" s="1" t="s">
        <v>36</v>
      </c>
      <c r="U285">
        <v>3.3</v>
      </c>
      <c r="V285" t="s">
        <v>56</v>
      </c>
      <c r="W285">
        <v>3</v>
      </c>
      <c r="X285" s="1" t="s">
        <v>96</v>
      </c>
    </row>
    <row r="286" spans="1:24" x14ac:dyDescent="0.55000000000000004">
      <c r="A286" s="1" t="s">
        <v>370</v>
      </c>
      <c r="B286" s="1" t="s">
        <v>83</v>
      </c>
      <c r="C286">
        <v>37</v>
      </c>
      <c r="D286" s="1" t="s">
        <v>42</v>
      </c>
      <c r="E286" s="1" t="s">
        <v>27</v>
      </c>
      <c r="F286" s="1" t="s">
        <v>28</v>
      </c>
      <c r="G286" s="1" t="s">
        <v>29</v>
      </c>
      <c r="H286" s="1" t="s">
        <v>30</v>
      </c>
      <c r="I286" s="1" t="s">
        <v>59</v>
      </c>
      <c r="J286" s="1" t="s">
        <v>54</v>
      </c>
      <c r="K286" s="1" t="s">
        <v>33</v>
      </c>
      <c r="L286" s="2">
        <v>45877</v>
      </c>
      <c r="M286" s="2">
        <v>45896</v>
      </c>
      <c r="N286">
        <v>1773732</v>
      </c>
      <c r="O286">
        <v>71463</v>
      </c>
      <c r="P286">
        <v>1702269</v>
      </c>
      <c r="Q286" s="1" t="s">
        <v>66</v>
      </c>
      <c r="R286" s="1" t="s">
        <v>79</v>
      </c>
      <c r="S286" s="1" t="s">
        <v>37</v>
      </c>
      <c r="T286" s="1" t="s">
        <v>36</v>
      </c>
      <c r="U286">
        <v>4.9000000000000004</v>
      </c>
      <c r="V286" t="s">
        <v>56</v>
      </c>
      <c r="W286">
        <v>8</v>
      </c>
      <c r="X286" s="1" t="s">
        <v>57</v>
      </c>
    </row>
    <row r="287" spans="1:24" x14ac:dyDescent="0.55000000000000004">
      <c r="A287" s="1" t="s">
        <v>371</v>
      </c>
      <c r="B287" s="1" t="s">
        <v>62</v>
      </c>
      <c r="C287">
        <v>24</v>
      </c>
      <c r="D287" s="1" t="s">
        <v>42</v>
      </c>
      <c r="E287" s="1" t="s">
        <v>27</v>
      </c>
      <c r="F287" s="1" t="s">
        <v>28</v>
      </c>
      <c r="G287" s="1" t="s">
        <v>29</v>
      </c>
      <c r="H287" s="1" t="s">
        <v>77</v>
      </c>
      <c r="I287" s="1" t="s">
        <v>74</v>
      </c>
      <c r="J287" s="1" t="s">
        <v>54</v>
      </c>
      <c r="K287" s="1" t="s">
        <v>33</v>
      </c>
      <c r="L287" s="2">
        <v>45684</v>
      </c>
      <c r="M287" s="2">
        <v>45723</v>
      </c>
      <c r="N287">
        <v>1738982</v>
      </c>
      <c r="O287">
        <v>46903</v>
      </c>
      <c r="P287">
        <v>1692079</v>
      </c>
      <c r="Q287" s="1" t="s">
        <v>55</v>
      </c>
      <c r="R287" s="1" t="s">
        <v>67</v>
      </c>
      <c r="S287" s="1" t="s">
        <v>37</v>
      </c>
      <c r="T287" s="1" t="s">
        <v>36</v>
      </c>
      <c r="U287">
        <v>3.7</v>
      </c>
      <c r="V287" t="s">
        <v>38</v>
      </c>
      <c r="W287">
        <v>3</v>
      </c>
      <c r="X287" s="1" t="s">
        <v>96</v>
      </c>
    </row>
    <row r="288" spans="1:24" x14ac:dyDescent="0.55000000000000004">
      <c r="A288" s="1" t="s">
        <v>372</v>
      </c>
      <c r="B288" s="1" t="s">
        <v>51</v>
      </c>
      <c r="C288">
        <v>56</v>
      </c>
      <c r="D288" s="1" t="s">
        <v>26</v>
      </c>
      <c r="E288" s="1" t="s">
        <v>90</v>
      </c>
      <c r="F288" s="1" t="s">
        <v>44</v>
      </c>
      <c r="G288" s="1" t="s">
        <v>29</v>
      </c>
      <c r="H288" s="1" t="s">
        <v>30</v>
      </c>
      <c r="I288" s="1" t="s">
        <v>45</v>
      </c>
      <c r="J288" s="1" t="s">
        <v>54</v>
      </c>
      <c r="K288" s="1" t="s">
        <v>33</v>
      </c>
      <c r="L288" s="2">
        <v>45798</v>
      </c>
      <c r="M288" s="2">
        <v>45809</v>
      </c>
      <c r="N288">
        <v>1318916</v>
      </c>
      <c r="O288">
        <v>89329</v>
      </c>
      <c r="P288">
        <v>1229587</v>
      </c>
      <c r="Q288" s="1" t="s">
        <v>55</v>
      </c>
      <c r="R288" s="1" t="s">
        <v>79</v>
      </c>
      <c r="S288" s="1" t="s">
        <v>37</v>
      </c>
      <c r="T288" s="1" t="s">
        <v>36</v>
      </c>
      <c r="U288">
        <v>4.3</v>
      </c>
      <c r="V288" t="s">
        <v>56</v>
      </c>
      <c r="W288">
        <v>6</v>
      </c>
      <c r="X288" s="1" t="s">
        <v>68</v>
      </c>
    </row>
    <row r="289" spans="1:24" x14ac:dyDescent="0.55000000000000004">
      <c r="A289" s="1" t="s">
        <v>373</v>
      </c>
      <c r="B289" s="1" t="s">
        <v>51</v>
      </c>
      <c r="C289">
        <v>56</v>
      </c>
      <c r="D289" s="1" t="s">
        <v>26</v>
      </c>
      <c r="E289" s="1" t="s">
        <v>84</v>
      </c>
      <c r="F289" s="1" t="s">
        <v>85</v>
      </c>
      <c r="G289" s="1" t="s">
        <v>29</v>
      </c>
      <c r="H289" s="1" t="s">
        <v>65</v>
      </c>
      <c r="I289" s="1" t="s">
        <v>45</v>
      </c>
      <c r="J289" s="1" t="s">
        <v>32</v>
      </c>
      <c r="K289" s="1" t="s">
        <v>46</v>
      </c>
      <c r="L289" s="2">
        <v>46041</v>
      </c>
      <c r="M289" s="2">
        <v>46053</v>
      </c>
      <c r="N289">
        <v>1730290</v>
      </c>
      <c r="O289">
        <v>69353</v>
      </c>
      <c r="P289">
        <v>1660937</v>
      </c>
      <c r="Q289" s="1" t="s">
        <v>66</v>
      </c>
      <c r="R289" s="1" t="s">
        <v>35</v>
      </c>
      <c r="S289" s="1" t="s">
        <v>36</v>
      </c>
      <c r="T289" s="1" t="s">
        <v>36</v>
      </c>
      <c r="U289">
        <v>3.8</v>
      </c>
      <c r="V289" t="s">
        <v>56</v>
      </c>
      <c r="W289">
        <v>1</v>
      </c>
      <c r="X289" s="1" t="s">
        <v>88</v>
      </c>
    </row>
    <row r="290" spans="1:24" x14ac:dyDescent="0.55000000000000004">
      <c r="A290" s="1" t="s">
        <v>374</v>
      </c>
      <c r="B290" s="1" t="s">
        <v>83</v>
      </c>
      <c r="C290">
        <v>39</v>
      </c>
      <c r="D290" s="1" t="s">
        <v>26</v>
      </c>
      <c r="E290" s="1" t="s">
        <v>71</v>
      </c>
      <c r="F290" s="1" t="s">
        <v>72</v>
      </c>
      <c r="G290" s="1" t="s">
        <v>29</v>
      </c>
      <c r="H290" s="1" t="s">
        <v>77</v>
      </c>
      <c r="I290" s="1" t="s">
        <v>53</v>
      </c>
      <c r="J290" s="1" t="s">
        <v>32</v>
      </c>
      <c r="K290" s="1" t="s">
        <v>33</v>
      </c>
      <c r="L290" s="2">
        <v>45769</v>
      </c>
      <c r="M290" s="2">
        <v>45783</v>
      </c>
      <c r="N290">
        <v>1889191</v>
      </c>
      <c r="O290">
        <v>53654</v>
      </c>
      <c r="P290">
        <v>1835537</v>
      </c>
      <c r="Q290" s="1" t="s">
        <v>66</v>
      </c>
      <c r="R290" s="1" t="s">
        <v>48</v>
      </c>
      <c r="S290" s="1" t="s">
        <v>37</v>
      </c>
      <c r="T290" s="1" t="s">
        <v>36</v>
      </c>
      <c r="U290">
        <v>3.1</v>
      </c>
      <c r="V290" t="s">
        <v>56</v>
      </c>
      <c r="W290">
        <v>5</v>
      </c>
      <c r="X290" s="1" t="s">
        <v>86</v>
      </c>
    </row>
    <row r="291" spans="1:24" x14ac:dyDescent="0.55000000000000004">
      <c r="A291" s="1" t="s">
        <v>375</v>
      </c>
      <c r="B291" s="1" t="s">
        <v>93</v>
      </c>
      <c r="C291">
        <v>30</v>
      </c>
      <c r="D291" s="1" t="s">
        <v>42</v>
      </c>
      <c r="E291" s="1" t="s">
        <v>27</v>
      </c>
      <c r="F291" s="1" t="s">
        <v>28</v>
      </c>
      <c r="G291" s="1" t="s">
        <v>29</v>
      </c>
      <c r="H291" s="1" t="s">
        <v>65</v>
      </c>
      <c r="I291" s="1" t="s">
        <v>59</v>
      </c>
      <c r="J291" s="1" t="s">
        <v>32</v>
      </c>
      <c r="K291" s="1" t="s">
        <v>33</v>
      </c>
      <c r="L291" s="2">
        <v>45707</v>
      </c>
      <c r="M291" s="2">
        <v>45721</v>
      </c>
      <c r="N291">
        <v>1393865</v>
      </c>
      <c r="O291">
        <v>60106</v>
      </c>
      <c r="P291">
        <v>1333759</v>
      </c>
      <c r="Q291" s="1" t="s">
        <v>34</v>
      </c>
      <c r="R291" s="1" t="s">
        <v>48</v>
      </c>
      <c r="S291" s="1" t="s">
        <v>36</v>
      </c>
      <c r="T291" s="1" t="s">
        <v>37</v>
      </c>
      <c r="U291">
        <v>3.3</v>
      </c>
      <c r="V291" t="s">
        <v>56</v>
      </c>
      <c r="W291">
        <v>3</v>
      </c>
      <c r="X291" s="1" t="s">
        <v>96</v>
      </c>
    </row>
    <row r="292" spans="1:24" x14ac:dyDescent="0.55000000000000004">
      <c r="A292" s="1" t="s">
        <v>376</v>
      </c>
      <c r="B292" s="1" t="s">
        <v>105</v>
      </c>
      <c r="C292">
        <v>25</v>
      </c>
      <c r="D292" s="1" t="s">
        <v>42</v>
      </c>
      <c r="E292" s="1" t="s">
        <v>71</v>
      </c>
      <c r="F292" s="1" t="s">
        <v>72</v>
      </c>
      <c r="G292" s="1" t="s">
        <v>29</v>
      </c>
      <c r="H292" s="1" t="s">
        <v>77</v>
      </c>
      <c r="I292" s="1" t="s">
        <v>74</v>
      </c>
      <c r="J292" s="1" t="s">
        <v>54</v>
      </c>
      <c r="K292" s="1" t="s">
        <v>33</v>
      </c>
      <c r="L292" s="2">
        <v>46178</v>
      </c>
      <c r="M292" s="2">
        <v>46201</v>
      </c>
      <c r="N292">
        <v>1382693</v>
      </c>
      <c r="O292">
        <v>78422</v>
      </c>
      <c r="P292">
        <v>1304271</v>
      </c>
      <c r="Q292" s="1" t="s">
        <v>34</v>
      </c>
      <c r="R292" s="1" t="s">
        <v>67</v>
      </c>
      <c r="S292" s="1" t="s">
        <v>37</v>
      </c>
      <c r="T292" s="1" t="s">
        <v>36</v>
      </c>
      <c r="U292">
        <v>4.5999999999999996</v>
      </c>
      <c r="V292" t="s">
        <v>38</v>
      </c>
      <c r="W292">
        <v>6</v>
      </c>
      <c r="X292" s="1" t="s">
        <v>68</v>
      </c>
    </row>
    <row r="293" spans="1:24" x14ac:dyDescent="0.55000000000000004">
      <c r="A293" s="1" t="s">
        <v>377</v>
      </c>
      <c r="B293" s="1" t="s">
        <v>25</v>
      </c>
      <c r="C293">
        <v>59</v>
      </c>
      <c r="D293" s="1" t="s">
        <v>42</v>
      </c>
      <c r="E293" s="1" t="s">
        <v>27</v>
      </c>
      <c r="F293" s="1" t="s">
        <v>28</v>
      </c>
      <c r="G293" s="1" t="s">
        <v>29</v>
      </c>
      <c r="H293" s="1" t="s">
        <v>65</v>
      </c>
      <c r="I293" s="1" t="s">
        <v>45</v>
      </c>
      <c r="J293" s="1" t="s">
        <v>32</v>
      </c>
      <c r="K293" s="1" t="s">
        <v>33</v>
      </c>
      <c r="L293" s="2">
        <v>46039</v>
      </c>
      <c r="M293" s="2">
        <v>46046</v>
      </c>
      <c r="N293">
        <v>1768336</v>
      </c>
      <c r="O293">
        <v>30371</v>
      </c>
      <c r="P293">
        <v>1737965</v>
      </c>
      <c r="Q293" s="1" t="s">
        <v>66</v>
      </c>
      <c r="R293" s="1" t="s">
        <v>109</v>
      </c>
      <c r="S293" s="1" t="s">
        <v>36</v>
      </c>
      <c r="T293" s="1" t="s">
        <v>37</v>
      </c>
      <c r="U293">
        <v>4.4000000000000004</v>
      </c>
      <c r="V293" t="s">
        <v>91</v>
      </c>
      <c r="W293">
        <v>1</v>
      </c>
      <c r="X293" s="1" t="s">
        <v>88</v>
      </c>
    </row>
    <row r="294" spans="1:24" x14ac:dyDescent="0.55000000000000004">
      <c r="A294" s="1" t="s">
        <v>378</v>
      </c>
      <c r="B294" s="1" t="s">
        <v>41</v>
      </c>
      <c r="C294">
        <v>27</v>
      </c>
      <c r="D294" s="1" t="s">
        <v>42</v>
      </c>
      <c r="E294" s="1" t="s">
        <v>52</v>
      </c>
      <c r="F294" s="1" t="s">
        <v>44</v>
      </c>
      <c r="G294" s="1" t="s">
        <v>29</v>
      </c>
      <c r="H294" s="1" t="s">
        <v>30</v>
      </c>
      <c r="I294" s="1" t="s">
        <v>45</v>
      </c>
      <c r="J294" s="1" t="s">
        <v>54</v>
      </c>
      <c r="K294" s="1" t="s">
        <v>33</v>
      </c>
      <c r="L294" s="2">
        <v>45965</v>
      </c>
      <c r="M294" s="2">
        <v>45972</v>
      </c>
      <c r="N294">
        <v>1746885</v>
      </c>
      <c r="O294">
        <v>64487</v>
      </c>
      <c r="P294">
        <v>1682398</v>
      </c>
      <c r="Q294" s="1" t="s">
        <v>66</v>
      </c>
      <c r="R294" s="1" t="s">
        <v>109</v>
      </c>
      <c r="S294" s="1" t="s">
        <v>37</v>
      </c>
      <c r="T294" s="1" t="s">
        <v>37</v>
      </c>
      <c r="U294">
        <v>3.7</v>
      </c>
      <c r="V294" t="s">
        <v>91</v>
      </c>
      <c r="W294">
        <v>11</v>
      </c>
      <c r="X294" s="1" t="s">
        <v>60</v>
      </c>
    </row>
    <row r="295" spans="1:24" x14ac:dyDescent="0.55000000000000004">
      <c r="A295" s="1" t="s">
        <v>379</v>
      </c>
      <c r="B295" s="1" t="s">
        <v>62</v>
      </c>
      <c r="C295">
        <v>42</v>
      </c>
      <c r="D295" s="1" t="s">
        <v>42</v>
      </c>
      <c r="E295" s="1" t="s">
        <v>84</v>
      </c>
      <c r="F295" s="1" t="s">
        <v>85</v>
      </c>
      <c r="G295" s="1" t="s">
        <v>29</v>
      </c>
      <c r="H295" s="1" t="s">
        <v>77</v>
      </c>
      <c r="I295" s="1" t="s">
        <v>31</v>
      </c>
      <c r="J295" s="1" t="s">
        <v>54</v>
      </c>
      <c r="K295" s="1" t="s">
        <v>46</v>
      </c>
      <c r="L295" s="2">
        <v>45721</v>
      </c>
      <c r="M295" s="2">
        <v>45763</v>
      </c>
      <c r="N295">
        <v>1452004</v>
      </c>
      <c r="O295">
        <v>34499</v>
      </c>
      <c r="P295">
        <v>1417505</v>
      </c>
      <c r="Q295" s="1" t="s">
        <v>34</v>
      </c>
      <c r="R295" s="1" t="s">
        <v>35</v>
      </c>
      <c r="S295" s="1" t="s">
        <v>37</v>
      </c>
      <c r="T295" s="1" t="s">
        <v>36</v>
      </c>
      <c r="U295">
        <v>3.1</v>
      </c>
      <c r="V295" t="s">
        <v>38</v>
      </c>
      <c r="W295">
        <v>4</v>
      </c>
      <c r="X295" s="1" t="s">
        <v>63</v>
      </c>
    </row>
    <row r="296" spans="1:24" x14ac:dyDescent="0.55000000000000004">
      <c r="A296" s="1" t="s">
        <v>380</v>
      </c>
      <c r="B296" s="1" t="s">
        <v>105</v>
      </c>
      <c r="C296">
        <v>23</v>
      </c>
      <c r="D296" s="1" t="s">
        <v>42</v>
      </c>
      <c r="E296" s="1" t="s">
        <v>43</v>
      </c>
      <c r="F296" s="1" t="s">
        <v>44</v>
      </c>
      <c r="G296" s="1" t="s">
        <v>29</v>
      </c>
      <c r="H296" s="1" t="s">
        <v>65</v>
      </c>
      <c r="I296" s="1" t="s">
        <v>74</v>
      </c>
      <c r="J296" s="1" t="s">
        <v>54</v>
      </c>
      <c r="K296" s="1" t="s">
        <v>46</v>
      </c>
      <c r="L296" s="2">
        <v>46068</v>
      </c>
      <c r="M296" s="2">
        <v>46079</v>
      </c>
      <c r="N296">
        <v>1374750</v>
      </c>
      <c r="O296">
        <v>69797</v>
      </c>
      <c r="P296">
        <v>1304953</v>
      </c>
      <c r="Q296" s="1" t="s">
        <v>66</v>
      </c>
      <c r="R296" s="1" t="s">
        <v>79</v>
      </c>
      <c r="S296" s="1" t="s">
        <v>37</v>
      </c>
      <c r="T296" s="1" t="s">
        <v>36</v>
      </c>
      <c r="U296">
        <v>4.4000000000000004</v>
      </c>
      <c r="V296" t="s">
        <v>56</v>
      </c>
      <c r="W296">
        <v>2</v>
      </c>
      <c r="X296" s="1" t="s">
        <v>107</v>
      </c>
    </row>
    <row r="297" spans="1:24" x14ac:dyDescent="0.55000000000000004">
      <c r="A297" s="1" t="s">
        <v>381</v>
      </c>
      <c r="B297" s="1" t="s">
        <v>83</v>
      </c>
      <c r="C297">
        <v>57</v>
      </c>
      <c r="D297" s="1" t="s">
        <v>26</v>
      </c>
      <c r="E297" s="1" t="s">
        <v>52</v>
      </c>
      <c r="F297" s="1" t="s">
        <v>44</v>
      </c>
      <c r="G297" s="1" t="s">
        <v>29</v>
      </c>
      <c r="H297" s="1" t="s">
        <v>65</v>
      </c>
      <c r="I297" s="1" t="s">
        <v>45</v>
      </c>
      <c r="J297" s="1" t="s">
        <v>32</v>
      </c>
      <c r="K297" s="1" t="s">
        <v>33</v>
      </c>
      <c r="L297" s="2">
        <v>45778</v>
      </c>
      <c r="M297" s="2">
        <v>45790</v>
      </c>
      <c r="N297">
        <v>1450756</v>
      </c>
      <c r="O297">
        <v>54482</v>
      </c>
      <c r="P297">
        <v>1396274</v>
      </c>
      <c r="Q297" s="1" t="s">
        <v>78</v>
      </c>
      <c r="R297" s="1" t="s">
        <v>109</v>
      </c>
      <c r="S297" s="1" t="s">
        <v>36</v>
      </c>
      <c r="T297" s="1" t="s">
        <v>36</v>
      </c>
      <c r="U297">
        <v>3.1</v>
      </c>
      <c r="V297" t="s">
        <v>56</v>
      </c>
      <c r="W297">
        <v>5</v>
      </c>
      <c r="X297" s="1" t="s">
        <v>86</v>
      </c>
    </row>
    <row r="298" spans="1:24" x14ac:dyDescent="0.55000000000000004">
      <c r="A298" s="1" t="s">
        <v>382</v>
      </c>
      <c r="B298" s="1" t="s">
        <v>98</v>
      </c>
      <c r="C298">
        <v>31</v>
      </c>
      <c r="D298" s="1" t="s">
        <v>42</v>
      </c>
      <c r="E298" s="1" t="s">
        <v>27</v>
      </c>
      <c r="F298" s="1" t="s">
        <v>28</v>
      </c>
      <c r="G298" s="1" t="s">
        <v>29</v>
      </c>
      <c r="H298" s="1" t="s">
        <v>65</v>
      </c>
      <c r="I298" s="1" t="s">
        <v>59</v>
      </c>
      <c r="J298" s="1" t="s">
        <v>54</v>
      </c>
      <c r="K298" s="1" t="s">
        <v>46</v>
      </c>
      <c r="L298" s="2">
        <v>45959</v>
      </c>
      <c r="M298" s="2">
        <v>45969</v>
      </c>
      <c r="N298">
        <v>1623041</v>
      </c>
      <c r="O298">
        <v>51132</v>
      </c>
      <c r="P298">
        <v>1571909</v>
      </c>
      <c r="Q298" s="1" t="s">
        <v>78</v>
      </c>
      <c r="R298" s="1" t="s">
        <v>67</v>
      </c>
      <c r="S298" s="1" t="s">
        <v>36</v>
      </c>
      <c r="T298" s="1" t="s">
        <v>37</v>
      </c>
      <c r="U298">
        <v>4.4000000000000004</v>
      </c>
      <c r="V298" t="s">
        <v>91</v>
      </c>
      <c r="W298">
        <v>11</v>
      </c>
      <c r="X298" s="1" t="s">
        <v>60</v>
      </c>
    </row>
    <row r="299" spans="1:24" x14ac:dyDescent="0.55000000000000004">
      <c r="A299" s="1" t="s">
        <v>383</v>
      </c>
      <c r="B299" s="1" t="s">
        <v>41</v>
      </c>
      <c r="C299">
        <v>49</v>
      </c>
      <c r="D299" s="1" t="s">
        <v>26</v>
      </c>
      <c r="E299" s="1" t="s">
        <v>43</v>
      </c>
      <c r="F299" s="1" t="s">
        <v>44</v>
      </c>
      <c r="G299" s="1" t="s">
        <v>29</v>
      </c>
      <c r="H299" s="1" t="s">
        <v>30</v>
      </c>
      <c r="I299" s="1" t="s">
        <v>45</v>
      </c>
      <c r="J299" s="1" t="s">
        <v>54</v>
      </c>
      <c r="K299" s="1" t="s">
        <v>33</v>
      </c>
      <c r="L299" s="2">
        <v>45732</v>
      </c>
      <c r="M299" s="2">
        <v>45761</v>
      </c>
      <c r="N299">
        <v>1309553</v>
      </c>
      <c r="O299">
        <v>59654</v>
      </c>
      <c r="P299">
        <v>1249899</v>
      </c>
      <c r="Q299" s="1" t="s">
        <v>66</v>
      </c>
      <c r="R299" s="1" t="s">
        <v>109</v>
      </c>
      <c r="S299" s="1" t="s">
        <v>36</v>
      </c>
      <c r="T299" s="1" t="s">
        <v>37</v>
      </c>
      <c r="U299">
        <v>4.5</v>
      </c>
      <c r="V299" t="s">
        <v>38</v>
      </c>
      <c r="W299">
        <v>4</v>
      </c>
      <c r="X299" s="1" t="s">
        <v>63</v>
      </c>
    </row>
    <row r="300" spans="1:24" x14ac:dyDescent="0.55000000000000004">
      <c r="A300" s="1" t="s">
        <v>384</v>
      </c>
      <c r="B300" s="1" t="s">
        <v>51</v>
      </c>
      <c r="C300">
        <v>44</v>
      </c>
      <c r="D300" s="1" t="s">
        <v>26</v>
      </c>
      <c r="E300" s="1" t="s">
        <v>43</v>
      </c>
      <c r="F300" s="1" t="s">
        <v>44</v>
      </c>
      <c r="G300" s="1" t="s">
        <v>29</v>
      </c>
      <c r="H300" s="1" t="s">
        <v>77</v>
      </c>
      <c r="I300" s="1" t="s">
        <v>53</v>
      </c>
      <c r="J300" s="1" t="s">
        <v>54</v>
      </c>
      <c r="K300" s="1" t="s">
        <v>33</v>
      </c>
      <c r="L300" s="2">
        <v>46193</v>
      </c>
      <c r="M300" s="2">
        <v>46214</v>
      </c>
      <c r="N300">
        <v>1598508</v>
      </c>
      <c r="O300">
        <v>62073</v>
      </c>
      <c r="P300">
        <v>1536435</v>
      </c>
      <c r="Q300" s="1" t="s">
        <v>55</v>
      </c>
      <c r="R300" s="1" t="s">
        <v>109</v>
      </c>
      <c r="S300" s="1" t="s">
        <v>36</v>
      </c>
      <c r="T300" s="1" t="s">
        <v>37</v>
      </c>
      <c r="U300">
        <v>3.6</v>
      </c>
      <c r="V300" t="s">
        <v>38</v>
      </c>
      <c r="W300">
        <v>7</v>
      </c>
      <c r="X300" s="1" t="s">
        <v>39</v>
      </c>
    </row>
    <row r="301" spans="1:24" x14ac:dyDescent="0.55000000000000004">
      <c r="A301" s="1" t="s">
        <v>385</v>
      </c>
      <c r="B301" s="1" t="s">
        <v>62</v>
      </c>
      <c r="C301">
        <v>44</v>
      </c>
      <c r="D301" s="1" t="s">
        <v>26</v>
      </c>
      <c r="E301" s="1" t="s">
        <v>27</v>
      </c>
      <c r="F301" s="1" t="s">
        <v>28</v>
      </c>
      <c r="G301" s="1" t="s">
        <v>29</v>
      </c>
      <c r="H301" s="1" t="s">
        <v>65</v>
      </c>
      <c r="I301" s="1" t="s">
        <v>59</v>
      </c>
      <c r="J301" s="1" t="s">
        <v>32</v>
      </c>
      <c r="K301" s="1" t="s">
        <v>33</v>
      </c>
      <c r="L301" s="2">
        <v>45720</v>
      </c>
      <c r="M301" s="2">
        <v>45760</v>
      </c>
      <c r="N301">
        <v>1678116</v>
      </c>
      <c r="O301">
        <v>42797</v>
      </c>
      <c r="P301">
        <v>1635319</v>
      </c>
      <c r="Q301" s="1" t="s">
        <v>78</v>
      </c>
      <c r="R301" s="1" t="s">
        <v>35</v>
      </c>
      <c r="S301" s="1" t="s">
        <v>37</v>
      </c>
      <c r="T301" s="1" t="s">
        <v>37</v>
      </c>
      <c r="U301">
        <v>3.6</v>
      </c>
      <c r="V301" t="s">
        <v>38</v>
      </c>
      <c r="W301">
        <v>4</v>
      </c>
      <c r="X301" s="1" t="s">
        <v>63</v>
      </c>
    </row>
    <row r="302" spans="1:24" x14ac:dyDescent="0.55000000000000004">
      <c r="A302" s="1" t="s">
        <v>386</v>
      </c>
      <c r="B302" s="1" t="s">
        <v>62</v>
      </c>
      <c r="C302">
        <v>47</v>
      </c>
      <c r="D302" s="1" t="s">
        <v>26</v>
      </c>
      <c r="E302" s="1" t="s">
        <v>84</v>
      </c>
      <c r="F302" s="1" t="s">
        <v>85</v>
      </c>
      <c r="G302" s="1" t="s">
        <v>29</v>
      </c>
      <c r="H302" s="1" t="s">
        <v>30</v>
      </c>
      <c r="I302" s="1" t="s">
        <v>31</v>
      </c>
      <c r="J302" s="1" t="s">
        <v>32</v>
      </c>
      <c r="K302" s="1" t="s">
        <v>46</v>
      </c>
      <c r="L302" s="2">
        <v>45863</v>
      </c>
      <c r="M302" s="2">
        <v>45897</v>
      </c>
      <c r="N302">
        <v>1890417</v>
      </c>
      <c r="O302">
        <v>17993</v>
      </c>
      <c r="P302">
        <v>1872424</v>
      </c>
      <c r="Q302" s="1" t="s">
        <v>47</v>
      </c>
      <c r="R302" s="1" t="s">
        <v>35</v>
      </c>
      <c r="S302" s="1" t="s">
        <v>37</v>
      </c>
      <c r="T302" s="1" t="s">
        <v>36</v>
      </c>
      <c r="U302">
        <v>3.7</v>
      </c>
      <c r="V302" t="s">
        <v>38</v>
      </c>
      <c r="W302">
        <v>8</v>
      </c>
      <c r="X302" s="1" t="s">
        <v>57</v>
      </c>
    </row>
    <row r="303" spans="1:24" x14ac:dyDescent="0.55000000000000004">
      <c r="A303" s="1" t="s">
        <v>387</v>
      </c>
      <c r="B303" s="1" t="s">
        <v>70</v>
      </c>
      <c r="C303">
        <v>22</v>
      </c>
      <c r="D303" s="1" t="s">
        <v>42</v>
      </c>
      <c r="E303" s="1" t="s">
        <v>84</v>
      </c>
      <c r="F303" s="1" t="s">
        <v>85</v>
      </c>
      <c r="G303" s="1" t="s">
        <v>29</v>
      </c>
      <c r="H303" s="1" t="s">
        <v>30</v>
      </c>
      <c r="I303" s="1" t="s">
        <v>45</v>
      </c>
      <c r="J303" s="1" t="s">
        <v>54</v>
      </c>
      <c r="K303" s="1" t="s">
        <v>33</v>
      </c>
      <c r="L303" s="2">
        <v>45812</v>
      </c>
      <c r="M303" s="2">
        <v>45856</v>
      </c>
      <c r="N303">
        <v>1578812</v>
      </c>
      <c r="O303">
        <v>98388</v>
      </c>
      <c r="P303">
        <v>1480424</v>
      </c>
      <c r="Q303" s="1" t="s">
        <v>55</v>
      </c>
      <c r="R303" s="1" t="s">
        <v>35</v>
      </c>
      <c r="S303" s="1" t="s">
        <v>36</v>
      </c>
      <c r="T303" s="1" t="s">
        <v>36</v>
      </c>
      <c r="U303">
        <v>4</v>
      </c>
      <c r="V303" t="s">
        <v>38</v>
      </c>
      <c r="W303">
        <v>7</v>
      </c>
      <c r="X303" s="1" t="s">
        <v>39</v>
      </c>
    </row>
    <row r="304" spans="1:24" x14ac:dyDescent="0.55000000000000004">
      <c r="A304" s="1" t="s">
        <v>388</v>
      </c>
      <c r="B304" s="1" t="s">
        <v>51</v>
      </c>
      <c r="C304">
        <v>26</v>
      </c>
      <c r="D304" s="1" t="s">
        <v>26</v>
      </c>
      <c r="E304" s="1" t="s">
        <v>90</v>
      </c>
      <c r="F304" s="1" t="s">
        <v>44</v>
      </c>
      <c r="G304" s="1" t="s">
        <v>29</v>
      </c>
      <c r="H304" s="1" t="s">
        <v>30</v>
      </c>
      <c r="I304" s="1" t="s">
        <v>59</v>
      </c>
      <c r="J304" s="1" t="s">
        <v>54</v>
      </c>
      <c r="K304" s="1" t="s">
        <v>46</v>
      </c>
      <c r="L304" s="2">
        <v>46182</v>
      </c>
      <c r="M304" s="2">
        <v>46196</v>
      </c>
      <c r="N304">
        <v>1653943</v>
      </c>
      <c r="O304">
        <v>84779</v>
      </c>
      <c r="P304">
        <v>1569164</v>
      </c>
      <c r="Q304" s="1" t="s">
        <v>55</v>
      </c>
      <c r="R304" s="1" t="s">
        <v>79</v>
      </c>
      <c r="S304" s="1" t="s">
        <v>36</v>
      </c>
      <c r="T304" s="1" t="s">
        <v>36</v>
      </c>
      <c r="U304">
        <v>3.7</v>
      </c>
      <c r="V304" t="s">
        <v>56</v>
      </c>
      <c r="W304">
        <v>6</v>
      </c>
      <c r="X304" s="1" t="s">
        <v>68</v>
      </c>
    </row>
    <row r="305" spans="1:24" x14ac:dyDescent="0.55000000000000004">
      <c r="A305" s="1" t="s">
        <v>389</v>
      </c>
      <c r="B305" s="1" t="s">
        <v>98</v>
      </c>
      <c r="C305">
        <v>34</v>
      </c>
      <c r="D305" s="1" t="s">
        <v>42</v>
      </c>
      <c r="E305" s="1" t="s">
        <v>43</v>
      </c>
      <c r="F305" s="1" t="s">
        <v>44</v>
      </c>
      <c r="G305" s="1" t="s">
        <v>29</v>
      </c>
      <c r="H305" s="1" t="s">
        <v>30</v>
      </c>
      <c r="I305" s="1" t="s">
        <v>74</v>
      </c>
      <c r="J305" s="1" t="s">
        <v>54</v>
      </c>
      <c r="K305" s="1" t="s">
        <v>33</v>
      </c>
      <c r="L305" s="2">
        <v>45797</v>
      </c>
      <c r="M305" s="2">
        <v>45819</v>
      </c>
      <c r="N305">
        <v>1815530</v>
      </c>
      <c r="O305">
        <v>51892</v>
      </c>
      <c r="P305">
        <v>1763638</v>
      </c>
      <c r="Q305" s="1" t="s">
        <v>55</v>
      </c>
      <c r="R305" s="1" t="s">
        <v>35</v>
      </c>
      <c r="S305" s="1" t="s">
        <v>37</v>
      </c>
      <c r="T305" s="1" t="s">
        <v>36</v>
      </c>
      <c r="U305">
        <v>4.0999999999999996</v>
      </c>
      <c r="V305" t="s">
        <v>38</v>
      </c>
      <c r="W305">
        <v>6</v>
      </c>
      <c r="X305" s="1" t="s">
        <v>68</v>
      </c>
    </row>
    <row r="306" spans="1:24" x14ac:dyDescent="0.55000000000000004">
      <c r="A306" s="1" t="s">
        <v>390</v>
      </c>
      <c r="B306" s="1" t="s">
        <v>62</v>
      </c>
      <c r="C306">
        <v>22</v>
      </c>
      <c r="D306" s="1" t="s">
        <v>42</v>
      </c>
      <c r="E306" s="1" t="s">
        <v>71</v>
      </c>
      <c r="F306" s="1" t="s">
        <v>72</v>
      </c>
      <c r="G306" s="1" t="s">
        <v>29</v>
      </c>
      <c r="H306" s="1" t="s">
        <v>30</v>
      </c>
      <c r="I306" s="1" t="s">
        <v>45</v>
      </c>
      <c r="J306" s="1" t="s">
        <v>32</v>
      </c>
      <c r="K306" s="1" t="s">
        <v>46</v>
      </c>
      <c r="L306" s="2">
        <v>45668</v>
      </c>
      <c r="M306" s="2">
        <v>45702</v>
      </c>
      <c r="N306">
        <v>1463757</v>
      </c>
      <c r="O306">
        <v>80030</v>
      </c>
      <c r="P306">
        <v>1383727</v>
      </c>
      <c r="Q306" s="1" t="s">
        <v>47</v>
      </c>
      <c r="R306" s="1" t="s">
        <v>35</v>
      </c>
      <c r="S306" s="1" t="s">
        <v>37</v>
      </c>
      <c r="T306" s="1" t="s">
        <v>36</v>
      </c>
      <c r="U306">
        <v>4.5999999999999996</v>
      </c>
      <c r="V306" t="s">
        <v>38</v>
      </c>
      <c r="W306">
        <v>2</v>
      </c>
      <c r="X306" s="1" t="s">
        <v>107</v>
      </c>
    </row>
    <row r="307" spans="1:24" x14ac:dyDescent="0.55000000000000004">
      <c r="A307" s="1" t="s">
        <v>391</v>
      </c>
      <c r="B307" s="1" t="s">
        <v>81</v>
      </c>
      <c r="C307">
        <v>40</v>
      </c>
      <c r="D307" s="1" t="s">
        <v>42</v>
      </c>
      <c r="E307" s="1" t="s">
        <v>84</v>
      </c>
      <c r="F307" s="1" t="s">
        <v>85</v>
      </c>
      <c r="G307" s="1" t="s">
        <v>29</v>
      </c>
      <c r="H307" s="1" t="s">
        <v>77</v>
      </c>
      <c r="I307" s="1" t="s">
        <v>59</v>
      </c>
      <c r="J307" s="1" t="s">
        <v>32</v>
      </c>
      <c r="K307" s="1" t="s">
        <v>33</v>
      </c>
      <c r="L307" s="2">
        <v>45726</v>
      </c>
      <c r="M307" s="2">
        <v>45733</v>
      </c>
      <c r="N307">
        <v>1749802</v>
      </c>
      <c r="O307">
        <v>99623</v>
      </c>
      <c r="P307">
        <v>1650179</v>
      </c>
      <c r="Q307" s="1" t="s">
        <v>47</v>
      </c>
      <c r="R307" s="1" t="s">
        <v>48</v>
      </c>
      <c r="S307" s="1" t="s">
        <v>37</v>
      </c>
      <c r="T307" s="1" t="s">
        <v>36</v>
      </c>
      <c r="U307">
        <v>4.9000000000000004</v>
      </c>
      <c r="V307" t="s">
        <v>91</v>
      </c>
      <c r="W307">
        <v>3</v>
      </c>
      <c r="X307" s="1" t="s">
        <v>96</v>
      </c>
    </row>
    <row r="308" spans="1:24" x14ac:dyDescent="0.55000000000000004">
      <c r="A308" s="1" t="s">
        <v>392</v>
      </c>
      <c r="B308" s="1" t="s">
        <v>93</v>
      </c>
      <c r="C308">
        <v>31</v>
      </c>
      <c r="D308" s="1" t="s">
        <v>42</v>
      </c>
      <c r="E308" s="1" t="s">
        <v>71</v>
      </c>
      <c r="F308" s="1" t="s">
        <v>72</v>
      </c>
      <c r="G308" s="1" t="s">
        <v>29</v>
      </c>
      <c r="H308" s="1" t="s">
        <v>77</v>
      </c>
      <c r="I308" s="1" t="s">
        <v>74</v>
      </c>
      <c r="J308" s="1" t="s">
        <v>54</v>
      </c>
      <c r="K308" s="1" t="s">
        <v>33</v>
      </c>
      <c r="L308" s="2">
        <v>46006</v>
      </c>
      <c r="M308" s="2">
        <v>46033</v>
      </c>
      <c r="N308">
        <v>1453323</v>
      </c>
      <c r="O308">
        <v>24645</v>
      </c>
      <c r="P308">
        <v>1428678</v>
      </c>
      <c r="Q308" s="1" t="s">
        <v>34</v>
      </c>
      <c r="R308" s="1" t="s">
        <v>67</v>
      </c>
      <c r="S308" s="1" t="s">
        <v>36</v>
      </c>
      <c r="T308" s="1" t="s">
        <v>36</v>
      </c>
      <c r="U308">
        <v>3.4</v>
      </c>
      <c r="V308" t="s">
        <v>38</v>
      </c>
      <c r="W308">
        <v>1</v>
      </c>
      <c r="X308" s="1" t="s">
        <v>88</v>
      </c>
    </row>
    <row r="309" spans="1:24" x14ac:dyDescent="0.55000000000000004">
      <c r="A309" s="1" t="s">
        <v>393</v>
      </c>
      <c r="B309" s="1" t="s">
        <v>51</v>
      </c>
      <c r="C309">
        <v>57</v>
      </c>
      <c r="D309" s="1" t="s">
        <v>42</v>
      </c>
      <c r="E309" s="1" t="s">
        <v>90</v>
      </c>
      <c r="F309" s="1" t="s">
        <v>44</v>
      </c>
      <c r="G309" s="1" t="s">
        <v>29</v>
      </c>
      <c r="H309" s="1" t="s">
        <v>65</v>
      </c>
      <c r="I309" s="1" t="s">
        <v>31</v>
      </c>
      <c r="J309" s="1" t="s">
        <v>54</v>
      </c>
      <c r="K309" s="1" t="s">
        <v>46</v>
      </c>
      <c r="L309" s="2">
        <v>45865</v>
      </c>
      <c r="M309" s="2">
        <v>45872</v>
      </c>
      <c r="N309">
        <v>1514805</v>
      </c>
      <c r="O309">
        <v>29216</v>
      </c>
      <c r="P309">
        <v>1485589</v>
      </c>
      <c r="Q309" s="1" t="s">
        <v>55</v>
      </c>
      <c r="R309" s="1" t="s">
        <v>35</v>
      </c>
      <c r="S309" s="1" t="s">
        <v>37</v>
      </c>
      <c r="T309" s="1" t="s">
        <v>37</v>
      </c>
      <c r="U309">
        <v>4.0999999999999996</v>
      </c>
      <c r="V309" t="s">
        <v>91</v>
      </c>
      <c r="W309">
        <v>8</v>
      </c>
      <c r="X309" s="1" t="s">
        <v>57</v>
      </c>
    </row>
    <row r="310" spans="1:24" x14ac:dyDescent="0.55000000000000004">
      <c r="A310" s="1" t="s">
        <v>394</v>
      </c>
      <c r="B310" s="1" t="s">
        <v>62</v>
      </c>
      <c r="C310">
        <v>37</v>
      </c>
      <c r="D310" s="1" t="s">
        <v>42</v>
      </c>
      <c r="E310" s="1" t="s">
        <v>84</v>
      </c>
      <c r="F310" s="1" t="s">
        <v>85</v>
      </c>
      <c r="G310" s="1" t="s">
        <v>29</v>
      </c>
      <c r="H310" s="1" t="s">
        <v>30</v>
      </c>
      <c r="I310" s="1" t="s">
        <v>74</v>
      </c>
      <c r="J310" s="1" t="s">
        <v>54</v>
      </c>
      <c r="K310" s="1" t="s">
        <v>46</v>
      </c>
      <c r="L310" s="2">
        <v>45689</v>
      </c>
      <c r="M310" s="2">
        <v>45711</v>
      </c>
      <c r="N310">
        <v>1689526</v>
      </c>
      <c r="O310">
        <v>46226</v>
      </c>
      <c r="P310">
        <v>1643300</v>
      </c>
      <c r="Q310" s="1" t="s">
        <v>47</v>
      </c>
      <c r="R310" s="1" t="s">
        <v>109</v>
      </c>
      <c r="S310" s="1" t="s">
        <v>36</v>
      </c>
      <c r="T310" s="1" t="s">
        <v>36</v>
      </c>
      <c r="U310">
        <v>3.3</v>
      </c>
      <c r="V310" t="s">
        <v>38</v>
      </c>
      <c r="W310">
        <v>2</v>
      </c>
      <c r="X310" s="1" t="s">
        <v>107</v>
      </c>
    </row>
    <row r="311" spans="1:24" x14ac:dyDescent="0.55000000000000004">
      <c r="A311" s="1" t="s">
        <v>395</v>
      </c>
      <c r="B311" s="1" t="s">
        <v>93</v>
      </c>
      <c r="C311">
        <v>49</v>
      </c>
      <c r="D311" s="1" t="s">
        <v>42</v>
      </c>
      <c r="E311" s="1" t="s">
        <v>27</v>
      </c>
      <c r="F311" s="1" t="s">
        <v>28</v>
      </c>
      <c r="G311" s="1" t="s">
        <v>29</v>
      </c>
      <c r="H311" s="1" t="s">
        <v>65</v>
      </c>
      <c r="I311" s="1" t="s">
        <v>74</v>
      </c>
      <c r="J311" s="1" t="s">
        <v>32</v>
      </c>
      <c r="K311" s="1" t="s">
        <v>33</v>
      </c>
      <c r="L311" s="2">
        <v>46184</v>
      </c>
      <c r="M311" s="2">
        <v>46198</v>
      </c>
      <c r="N311">
        <v>1891505</v>
      </c>
      <c r="O311">
        <v>87560</v>
      </c>
      <c r="P311">
        <v>1803945</v>
      </c>
      <c r="Q311" s="1" t="s">
        <v>47</v>
      </c>
      <c r="R311" s="1" t="s">
        <v>35</v>
      </c>
      <c r="S311" s="1" t="s">
        <v>37</v>
      </c>
      <c r="T311" s="1" t="s">
        <v>36</v>
      </c>
      <c r="U311">
        <v>3.4</v>
      </c>
      <c r="V311" t="s">
        <v>56</v>
      </c>
      <c r="W311">
        <v>6</v>
      </c>
      <c r="X311" s="1" t="s">
        <v>68</v>
      </c>
    </row>
    <row r="312" spans="1:24" x14ac:dyDescent="0.55000000000000004">
      <c r="A312" s="1" t="s">
        <v>396</v>
      </c>
      <c r="B312" s="1" t="s">
        <v>51</v>
      </c>
      <c r="C312">
        <v>49</v>
      </c>
      <c r="D312" s="1" t="s">
        <v>42</v>
      </c>
      <c r="E312" s="1" t="s">
        <v>71</v>
      </c>
      <c r="F312" s="1" t="s">
        <v>72</v>
      </c>
      <c r="G312" s="1" t="s">
        <v>29</v>
      </c>
      <c r="H312" s="1" t="s">
        <v>30</v>
      </c>
      <c r="I312" s="1" t="s">
        <v>45</v>
      </c>
      <c r="J312" s="1" t="s">
        <v>32</v>
      </c>
      <c r="K312" s="1" t="s">
        <v>33</v>
      </c>
      <c r="L312" s="2">
        <v>45802</v>
      </c>
      <c r="M312" s="2">
        <v>45841</v>
      </c>
      <c r="N312">
        <v>1680765</v>
      </c>
      <c r="O312">
        <v>97662</v>
      </c>
      <c r="P312">
        <v>1583103</v>
      </c>
      <c r="Q312" s="1" t="s">
        <v>55</v>
      </c>
      <c r="R312" s="1" t="s">
        <v>109</v>
      </c>
      <c r="S312" s="1" t="s">
        <v>37</v>
      </c>
      <c r="T312" s="1" t="s">
        <v>36</v>
      </c>
      <c r="U312">
        <v>3</v>
      </c>
      <c r="V312" t="s">
        <v>38</v>
      </c>
      <c r="W312">
        <v>7</v>
      </c>
      <c r="X312" s="1" t="s">
        <v>39</v>
      </c>
    </row>
    <row r="313" spans="1:24" x14ac:dyDescent="0.55000000000000004">
      <c r="A313" s="1" t="s">
        <v>397</v>
      </c>
      <c r="B313" s="1" t="s">
        <v>51</v>
      </c>
      <c r="C313">
        <v>39</v>
      </c>
      <c r="D313" s="1" t="s">
        <v>26</v>
      </c>
      <c r="E313" s="1" t="s">
        <v>52</v>
      </c>
      <c r="F313" s="1" t="s">
        <v>44</v>
      </c>
      <c r="G313" s="1" t="s">
        <v>29</v>
      </c>
      <c r="H313" s="1" t="s">
        <v>30</v>
      </c>
      <c r="I313" s="1" t="s">
        <v>45</v>
      </c>
      <c r="J313" s="1" t="s">
        <v>32</v>
      </c>
      <c r="K313" s="1" t="s">
        <v>33</v>
      </c>
      <c r="L313" s="2">
        <v>46028</v>
      </c>
      <c r="M313" s="2">
        <v>46058</v>
      </c>
      <c r="N313">
        <v>1548867</v>
      </c>
      <c r="O313">
        <v>32371</v>
      </c>
      <c r="P313">
        <v>1516496</v>
      </c>
      <c r="Q313" s="1" t="s">
        <v>55</v>
      </c>
      <c r="R313" s="1" t="s">
        <v>67</v>
      </c>
      <c r="S313" s="1" t="s">
        <v>36</v>
      </c>
      <c r="T313" s="1" t="s">
        <v>37</v>
      </c>
      <c r="U313">
        <v>3.3</v>
      </c>
      <c r="V313" t="s">
        <v>38</v>
      </c>
      <c r="W313">
        <v>2</v>
      </c>
      <c r="X313" s="1" t="s">
        <v>107</v>
      </c>
    </row>
    <row r="314" spans="1:24" x14ac:dyDescent="0.55000000000000004">
      <c r="A314" s="1" t="s">
        <v>398</v>
      </c>
      <c r="B314" s="1" t="s">
        <v>98</v>
      </c>
      <c r="C314">
        <v>22</v>
      </c>
      <c r="D314" s="1" t="s">
        <v>26</v>
      </c>
      <c r="E314" s="1" t="s">
        <v>71</v>
      </c>
      <c r="F314" s="1" t="s">
        <v>72</v>
      </c>
      <c r="G314" s="1" t="s">
        <v>29</v>
      </c>
      <c r="H314" s="1" t="s">
        <v>77</v>
      </c>
      <c r="I314" s="1" t="s">
        <v>74</v>
      </c>
      <c r="J314" s="1" t="s">
        <v>32</v>
      </c>
      <c r="K314" s="1" t="s">
        <v>33</v>
      </c>
      <c r="L314" s="2">
        <v>46041</v>
      </c>
      <c r="M314" s="2">
        <v>46071</v>
      </c>
      <c r="N314">
        <v>1635874</v>
      </c>
      <c r="O314">
        <v>46612</v>
      </c>
      <c r="P314">
        <v>1589262</v>
      </c>
      <c r="Q314" s="1" t="s">
        <v>34</v>
      </c>
      <c r="R314" s="1" t="s">
        <v>67</v>
      </c>
      <c r="S314" s="1" t="s">
        <v>36</v>
      </c>
      <c r="T314" s="1" t="s">
        <v>36</v>
      </c>
      <c r="U314">
        <v>3.4</v>
      </c>
      <c r="V314" t="s">
        <v>38</v>
      </c>
      <c r="W314">
        <v>2</v>
      </c>
      <c r="X314" s="1" t="s">
        <v>107</v>
      </c>
    </row>
    <row r="315" spans="1:24" x14ac:dyDescent="0.55000000000000004">
      <c r="A315" s="1" t="s">
        <v>399</v>
      </c>
      <c r="B315" s="1" t="s">
        <v>70</v>
      </c>
      <c r="C315">
        <v>23</v>
      </c>
      <c r="D315" s="1" t="s">
        <v>26</v>
      </c>
      <c r="E315" s="1" t="s">
        <v>71</v>
      </c>
      <c r="F315" s="1" t="s">
        <v>72</v>
      </c>
      <c r="G315" s="1" t="s">
        <v>29</v>
      </c>
      <c r="H315" s="1" t="s">
        <v>65</v>
      </c>
      <c r="I315" s="1" t="s">
        <v>31</v>
      </c>
      <c r="J315" s="1" t="s">
        <v>32</v>
      </c>
      <c r="K315" s="1" t="s">
        <v>46</v>
      </c>
      <c r="L315" s="2">
        <v>46116</v>
      </c>
      <c r="M315" s="2">
        <v>46132</v>
      </c>
      <c r="N315">
        <v>1761617</v>
      </c>
      <c r="O315">
        <v>93512</v>
      </c>
      <c r="P315">
        <v>1668105</v>
      </c>
      <c r="Q315" s="1" t="s">
        <v>34</v>
      </c>
      <c r="R315" s="1" t="s">
        <v>109</v>
      </c>
      <c r="S315" s="1" t="s">
        <v>37</v>
      </c>
      <c r="T315" s="1" t="s">
        <v>37</v>
      </c>
      <c r="U315">
        <v>4.0999999999999996</v>
      </c>
      <c r="V315" t="s">
        <v>56</v>
      </c>
      <c r="W315">
        <v>4</v>
      </c>
      <c r="X315" s="1" t="s">
        <v>63</v>
      </c>
    </row>
    <row r="316" spans="1:24" x14ac:dyDescent="0.55000000000000004">
      <c r="A316" s="1" t="s">
        <v>400</v>
      </c>
      <c r="B316" s="1" t="s">
        <v>51</v>
      </c>
      <c r="C316">
        <v>22</v>
      </c>
      <c r="D316" s="1" t="s">
        <v>42</v>
      </c>
      <c r="E316" s="1" t="s">
        <v>52</v>
      </c>
      <c r="F316" s="1" t="s">
        <v>44</v>
      </c>
      <c r="G316" s="1" t="s">
        <v>29</v>
      </c>
      <c r="H316" s="1" t="s">
        <v>30</v>
      </c>
      <c r="I316" s="1" t="s">
        <v>45</v>
      </c>
      <c r="J316" s="1" t="s">
        <v>54</v>
      </c>
      <c r="K316" s="1" t="s">
        <v>46</v>
      </c>
      <c r="L316" s="2">
        <v>45721</v>
      </c>
      <c r="M316" s="2">
        <v>45765</v>
      </c>
      <c r="N316">
        <v>1832246</v>
      </c>
      <c r="O316">
        <v>78394</v>
      </c>
      <c r="P316">
        <v>1753852</v>
      </c>
      <c r="Q316" s="1" t="s">
        <v>66</v>
      </c>
      <c r="R316" s="1" t="s">
        <v>79</v>
      </c>
      <c r="S316" s="1" t="s">
        <v>36</v>
      </c>
      <c r="T316" s="1" t="s">
        <v>37</v>
      </c>
      <c r="U316">
        <v>3.8</v>
      </c>
      <c r="V316" t="s">
        <v>38</v>
      </c>
      <c r="W316">
        <v>4</v>
      </c>
      <c r="X316" s="1" t="s">
        <v>63</v>
      </c>
    </row>
    <row r="317" spans="1:24" x14ac:dyDescent="0.55000000000000004">
      <c r="A317" s="1" t="s">
        <v>401</v>
      </c>
      <c r="B317" s="1" t="s">
        <v>105</v>
      </c>
      <c r="C317">
        <v>31</v>
      </c>
      <c r="D317" s="1" t="s">
        <v>26</v>
      </c>
      <c r="E317" s="1" t="s">
        <v>90</v>
      </c>
      <c r="F317" s="1" t="s">
        <v>44</v>
      </c>
      <c r="G317" s="1" t="s">
        <v>29</v>
      </c>
      <c r="H317" s="1" t="s">
        <v>30</v>
      </c>
      <c r="I317" s="1" t="s">
        <v>45</v>
      </c>
      <c r="J317" s="1" t="s">
        <v>32</v>
      </c>
      <c r="K317" s="1" t="s">
        <v>46</v>
      </c>
      <c r="L317" s="2">
        <v>46187</v>
      </c>
      <c r="M317" s="2">
        <v>46227</v>
      </c>
      <c r="N317">
        <v>1859707</v>
      </c>
      <c r="O317">
        <v>40344</v>
      </c>
      <c r="P317">
        <v>1819363</v>
      </c>
      <c r="Q317" s="1" t="s">
        <v>55</v>
      </c>
      <c r="R317" s="1" t="s">
        <v>67</v>
      </c>
      <c r="S317" s="1" t="s">
        <v>36</v>
      </c>
      <c r="T317" s="1" t="s">
        <v>37</v>
      </c>
      <c r="U317">
        <v>4.5999999999999996</v>
      </c>
      <c r="V317" t="s">
        <v>38</v>
      </c>
      <c r="W317">
        <v>7</v>
      </c>
      <c r="X317" s="1" t="s">
        <v>39</v>
      </c>
    </row>
    <row r="318" spans="1:24" x14ac:dyDescent="0.55000000000000004">
      <c r="A318" s="1" t="s">
        <v>402</v>
      </c>
      <c r="B318" s="1" t="s">
        <v>93</v>
      </c>
      <c r="C318">
        <v>39</v>
      </c>
      <c r="D318" s="1" t="s">
        <v>26</v>
      </c>
      <c r="E318" s="1" t="s">
        <v>27</v>
      </c>
      <c r="F318" s="1" t="s">
        <v>28</v>
      </c>
      <c r="G318" s="1" t="s">
        <v>29</v>
      </c>
      <c r="H318" s="1" t="s">
        <v>30</v>
      </c>
      <c r="I318" s="1" t="s">
        <v>74</v>
      </c>
      <c r="J318" s="1" t="s">
        <v>54</v>
      </c>
      <c r="K318" s="1" t="s">
        <v>33</v>
      </c>
      <c r="L318" s="2">
        <v>46176</v>
      </c>
      <c r="M318" s="2">
        <v>46213</v>
      </c>
      <c r="N318">
        <v>1431699</v>
      </c>
      <c r="O318">
        <v>49771</v>
      </c>
      <c r="P318">
        <v>1381928</v>
      </c>
      <c r="Q318" s="1" t="s">
        <v>47</v>
      </c>
      <c r="R318" s="1" t="s">
        <v>48</v>
      </c>
      <c r="S318" s="1" t="s">
        <v>37</v>
      </c>
      <c r="T318" s="1" t="s">
        <v>36</v>
      </c>
      <c r="U318">
        <v>4.5999999999999996</v>
      </c>
      <c r="V318" t="s">
        <v>38</v>
      </c>
      <c r="W318">
        <v>7</v>
      </c>
      <c r="X318" s="1" t="s">
        <v>39</v>
      </c>
    </row>
    <row r="319" spans="1:24" x14ac:dyDescent="0.55000000000000004">
      <c r="A319" s="1" t="s">
        <v>403</v>
      </c>
      <c r="B319" s="1" t="s">
        <v>81</v>
      </c>
      <c r="C319">
        <v>27</v>
      </c>
      <c r="D319" s="1" t="s">
        <v>42</v>
      </c>
      <c r="E319" s="1" t="s">
        <v>27</v>
      </c>
      <c r="F319" s="1" t="s">
        <v>28</v>
      </c>
      <c r="G319" s="1" t="s">
        <v>29</v>
      </c>
      <c r="H319" s="1" t="s">
        <v>30</v>
      </c>
      <c r="I319" s="1" t="s">
        <v>53</v>
      </c>
      <c r="J319" s="1" t="s">
        <v>54</v>
      </c>
      <c r="K319" s="1" t="s">
        <v>46</v>
      </c>
      <c r="L319" s="2">
        <v>45721</v>
      </c>
      <c r="M319" s="2">
        <v>45745</v>
      </c>
      <c r="N319">
        <v>1830484</v>
      </c>
      <c r="O319">
        <v>11109</v>
      </c>
      <c r="P319">
        <v>1819375</v>
      </c>
      <c r="Q319" s="1" t="s">
        <v>66</v>
      </c>
      <c r="R319" s="1" t="s">
        <v>35</v>
      </c>
      <c r="S319" s="1" t="s">
        <v>37</v>
      </c>
      <c r="T319" s="1" t="s">
        <v>37</v>
      </c>
      <c r="U319">
        <v>3.9</v>
      </c>
      <c r="V319" t="s">
        <v>38</v>
      </c>
      <c r="W319">
        <v>3</v>
      </c>
      <c r="X319" s="1" t="s">
        <v>96</v>
      </c>
    </row>
    <row r="320" spans="1:24" x14ac:dyDescent="0.55000000000000004">
      <c r="A320" s="1" t="s">
        <v>404</v>
      </c>
      <c r="B320" s="1" t="s">
        <v>81</v>
      </c>
      <c r="C320">
        <v>43</v>
      </c>
      <c r="D320" s="1" t="s">
        <v>26</v>
      </c>
      <c r="E320" s="1" t="s">
        <v>90</v>
      </c>
      <c r="F320" s="1" t="s">
        <v>44</v>
      </c>
      <c r="G320" s="1" t="s">
        <v>29</v>
      </c>
      <c r="H320" s="1" t="s">
        <v>77</v>
      </c>
      <c r="I320" s="1" t="s">
        <v>53</v>
      </c>
      <c r="J320" s="1" t="s">
        <v>54</v>
      </c>
      <c r="K320" s="1" t="s">
        <v>46</v>
      </c>
      <c r="L320" s="2">
        <v>46095</v>
      </c>
      <c r="M320" s="2">
        <v>46121</v>
      </c>
      <c r="N320">
        <v>1898827</v>
      </c>
      <c r="O320">
        <v>79165</v>
      </c>
      <c r="P320">
        <v>1819662</v>
      </c>
      <c r="Q320" s="1" t="s">
        <v>47</v>
      </c>
      <c r="R320" s="1" t="s">
        <v>35</v>
      </c>
      <c r="S320" s="1" t="s">
        <v>36</v>
      </c>
      <c r="T320" s="1" t="s">
        <v>36</v>
      </c>
      <c r="U320">
        <v>3.6</v>
      </c>
      <c r="V320" t="s">
        <v>38</v>
      </c>
      <c r="W320">
        <v>4</v>
      </c>
      <c r="X320" s="1" t="s">
        <v>63</v>
      </c>
    </row>
    <row r="321" spans="1:24" x14ac:dyDescent="0.55000000000000004">
      <c r="A321" s="1" t="s">
        <v>405</v>
      </c>
      <c r="B321" s="1" t="s">
        <v>105</v>
      </c>
      <c r="C321">
        <v>42</v>
      </c>
      <c r="D321" s="1" t="s">
        <v>26</v>
      </c>
      <c r="E321" s="1" t="s">
        <v>27</v>
      </c>
      <c r="F321" s="1" t="s">
        <v>28</v>
      </c>
      <c r="G321" s="1" t="s">
        <v>29</v>
      </c>
      <c r="H321" s="1" t="s">
        <v>30</v>
      </c>
      <c r="I321" s="1" t="s">
        <v>53</v>
      </c>
      <c r="J321" s="1" t="s">
        <v>54</v>
      </c>
      <c r="K321" s="1" t="s">
        <v>33</v>
      </c>
      <c r="L321" s="2">
        <v>45769</v>
      </c>
      <c r="M321" s="2">
        <v>45799</v>
      </c>
      <c r="N321">
        <v>1449670</v>
      </c>
      <c r="O321">
        <v>26782</v>
      </c>
      <c r="P321">
        <v>1422888</v>
      </c>
      <c r="Q321" s="1" t="s">
        <v>66</v>
      </c>
      <c r="R321" s="1" t="s">
        <v>35</v>
      </c>
      <c r="S321" s="1" t="s">
        <v>36</v>
      </c>
      <c r="T321" s="1" t="s">
        <v>37</v>
      </c>
      <c r="U321">
        <v>3.4</v>
      </c>
      <c r="V321" t="s">
        <v>38</v>
      </c>
      <c r="W321">
        <v>5</v>
      </c>
      <c r="X321" s="1" t="s">
        <v>86</v>
      </c>
    </row>
    <row r="322" spans="1:24" x14ac:dyDescent="0.55000000000000004">
      <c r="A322" s="1" t="s">
        <v>406</v>
      </c>
      <c r="B322" s="1" t="s">
        <v>93</v>
      </c>
      <c r="C322">
        <v>29</v>
      </c>
      <c r="D322" s="1" t="s">
        <v>42</v>
      </c>
      <c r="E322" s="1" t="s">
        <v>43</v>
      </c>
      <c r="F322" s="1" t="s">
        <v>44</v>
      </c>
      <c r="G322" s="1" t="s">
        <v>29</v>
      </c>
      <c r="H322" s="1" t="s">
        <v>30</v>
      </c>
      <c r="I322" s="1" t="s">
        <v>59</v>
      </c>
      <c r="J322" s="1" t="s">
        <v>54</v>
      </c>
      <c r="K322" s="1" t="s">
        <v>46</v>
      </c>
      <c r="L322" s="2">
        <v>45816</v>
      </c>
      <c r="M322" s="2">
        <v>45839</v>
      </c>
      <c r="N322">
        <v>1642632</v>
      </c>
      <c r="O322">
        <v>12378</v>
      </c>
      <c r="P322">
        <v>1630254</v>
      </c>
      <c r="Q322" s="1" t="s">
        <v>78</v>
      </c>
      <c r="R322" s="1" t="s">
        <v>109</v>
      </c>
      <c r="S322" s="1" t="s">
        <v>37</v>
      </c>
      <c r="T322" s="1" t="s">
        <v>36</v>
      </c>
      <c r="U322">
        <v>3.6</v>
      </c>
      <c r="V322" t="s">
        <v>38</v>
      </c>
      <c r="W322">
        <v>7</v>
      </c>
      <c r="X322" s="1" t="s">
        <v>39</v>
      </c>
    </row>
    <row r="323" spans="1:24" x14ac:dyDescent="0.55000000000000004">
      <c r="A323" s="1" t="s">
        <v>407</v>
      </c>
      <c r="B323" s="1" t="s">
        <v>70</v>
      </c>
      <c r="C323">
        <v>58</v>
      </c>
      <c r="D323" s="1" t="s">
        <v>26</v>
      </c>
      <c r="E323" s="1" t="s">
        <v>52</v>
      </c>
      <c r="F323" s="1" t="s">
        <v>44</v>
      </c>
      <c r="G323" s="1" t="s">
        <v>29</v>
      </c>
      <c r="H323" s="1" t="s">
        <v>65</v>
      </c>
      <c r="I323" s="1" t="s">
        <v>31</v>
      </c>
      <c r="J323" s="1" t="s">
        <v>32</v>
      </c>
      <c r="K323" s="1" t="s">
        <v>33</v>
      </c>
      <c r="L323" s="2">
        <v>45783</v>
      </c>
      <c r="M323" s="2">
        <v>45821</v>
      </c>
      <c r="N323">
        <v>1811609</v>
      </c>
      <c r="O323">
        <v>11026</v>
      </c>
      <c r="P323">
        <v>1800583</v>
      </c>
      <c r="Q323" s="1" t="s">
        <v>34</v>
      </c>
      <c r="R323" s="1" t="s">
        <v>109</v>
      </c>
      <c r="S323" s="1" t="s">
        <v>36</v>
      </c>
      <c r="T323" s="1" t="s">
        <v>36</v>
      </c>
      <c r="U323">
        <v>4.5999999999999996</v>
      </c>
      <c r="V323" t="s">
        <v>38</v>
      </c>
      <c r="W323">
        <v>6</v>
      </c>
      <c r="X323" s="1" t="s">
        <v>68</v>
      </c>
    </row>
    <row r="324" spans="1:24" x14ac:dyDescent="0.55000000000000004">
      <c r="A324" s="1" t="s">
        <v>408</v>
      </c>
      <c r="B324" s="1" t="s">
        <v>51</v>
      </c>
      <c r="C324">
        <v>38</v>
      </c>
      <c r="D324" s="1" t="s">
        <v>42</v>
      </c>
      <c r="E324" s="1" t="s">
        <v>71</v>
      </c>
      <c r="F324" s="1" t="s">
        <v>72</v>
      </c>
      <c r="G324" s="1" t="s">
        <v>29</v>
      </c>
      <c r="H324" s="1" t="s">
        <v>65</v>
      </c>
      <c r="I324" s="1" t="s">
        <v>45</v>
      </c>
      <c r="J324" s="1" t="s">
        <v>54</v>
      </c>
      <c r="K324" s="1" t="s">
        <v>33</v>
      </c>
      <c r="L324" s="2">
        <v>45826</v>
      </c>
      <c r="M324" s="2">
        <v>45865</v>
      </c>
      <c r="N324">
        <v>1807078</v>
      </c>
      <c r="O324">
        <v>23104</v>
      </c>
      <c r="P324">
        <v>1783974</v>
      </c>
      <c r="Q324" s="1" t="s">
        <v>66</v>
      </c>
      <c r="R324" s="1" t="s">
        <v>48</v>
      </c>
      <c r="S324" s="1" t="s">
        <v>36</v>
      </c>
      <c r="T324" s="1" t="s">
        <v>36</v>
      </c>
      <c r="U324">
        <v>4.7</v>
      </c>
      <c r="V324" t="s">
        <v>38</v>
      </c>
      <c r="W324">
        <v>7</v>
      </c>
      <c r="X324" s="1" t="s">
        <v>39</v>
      </c>
    </row>
    <row r="325" spans="1:24" x14ac:dyDescent="0.55000000000000004">
      <c r="A325" s="1" t="s">
        <v>409</v>
      </c>
      <c r="B325" s="1" t="s">
        <v>41</v>
      </c>
      <c r="C325">
        <v>35</v>
      </c>
      <c r="D325" s="1" t="s">
        <v>26</v>
      </c>
      <c r="E325" s="1" t="s">
        <v>84</v>
      </c>
      <c r="F325" s="1" t="s">
        <v>85</v>
      </c>
      <c r="G325" s="1" t="s">
        <v>29</v>
      </c>
      <c r="H325" s="1" t="s">
        <v>77</v>
      </c>
      <c r="I325" s="1" t="s">
        <v>59</v>
      </c>
      <c r="J325" s="1" t="s">
        <v>32</v>
      </c>
      <c r="K325" s="1" t="s">
        <v>33</v>
      </c>
      <c r="L325" s="2">
        <v>46022</v>
      </c>
      <c r="M325" s="2">
        <v>46033</v>
      </c>
      <c r="N325">
        <v>1737301</v>
      </c>
      <c r="O325">
        <v>80228</v>
      </c>
      <c r="P325">
        <v>1657073</v>
      </c>
      <c r="Q325" s="1" t="s">
        <v>47</v>
      </c>
      <c r="R325" s="1" t="s">
        <v>48</v>
      </c>
      <c r="S325" s="1" t="s">
        <v>37</v>
      </c>
      <c r="T325" s="1" t="s">
        <v>36</v>
      </c>
      <c r="U325">
        <v>3.2</v>
      </c>
      <c r="V325" t="s">
        <v>56</v>
      </c>
      <c r="W325">
        <v>1</v>
      </c>
      <c r="X325" s="1" t="s">
        <v>88</v>
      </c>
    </row>
    <row r="326" spans="1:24" x14ac:dyDescent="0.55000000000000004">
      <c r="A326" s="1" t="s">
        <v>410</v>
      </c>
      <c r="B326" s="1" t="s">
        <v>105</v>
      </c>
      <c r="C326">
        <v>56</v>
      </c>
      <c r="D326" s="1" t="s">
        <v>42</v>
      </c>
      <c r="E326" s="1" t="s">
        <v>84</v>
      </c>
      <c r="F326" s="1" t="s">
        <v>85</v>
      </c>
      <c r="G326" s="1" t="s">
        <v>29</v>
      </c>
      <c r="H326" s="1" t="s">
        <v>30</v>
      </c>
      <c r="I326" s="1" t="s">
        <v>74</v>
      </c>
      <c r="J326" s="1" t="s">
        <v>54</v>
      </c>
      <c r="K326" s="1" t="s">
        <v>33</v>
      </c>
      <c r="L326" s="2">
        <v>45952</v>
      </c>
      <c r="M326" s="2">
        <v>45988</v>
      </c>
      <c r="N326">
        <v>1425218</v>
      </c>
      <c r="O326">
        <v>94773</v>
      </c>
      <c r="P326">
        <v>1330445</v>
      </c>
      <c r="Q326" s="1" t="s">
        <v>47</v>
      </c>
      <c r="R326" s="1" t="s">
        <v>109</v>
      </c>
      <c r="S326" s="1" t="s">
        <v>36</v>
      </c>
      <c r="T326" s="1" t="s">
        <v>36</v>
      </c>
      <c r="U326">
        <v>3.1</v>
      </c>
      <c r="V326" t="s">
        <v>38</v>
      </c>
      <c r="W326">
        <v>11</v>
      </c>
      <c r="X326" s="1" t="s">
        <v>60</v>
      </c>
    </row>
    <row r="327" spans="1:24" x14ac:dyDescent="0.55000000000000004">
      <c r="A327" s="1" t="s">
        <v>411</v>
      </c>
      <c r="B327" s="1" t="s">
        <v>83</v>
      </c>
      <c r="C327">
        <v>23</v>
      </c>
      <c r="D327" s="1" t="s">
        <v>26</v>
      </c>
      <c r="E327" s="1" t="s">
        <v>27</v>
      </c>
      <c r="F327" s="1" t="s">
        <v>28</v>
      </c>
      <c r="G327" s="1" t="s">
        <v>29</v>
      </c>
      <c r="H327" s="1" t="s">
        <v>30</v>
      </c>
      <c r="I327" s="1" t="s">
        <v>31</v>
      </c>
      <c r="J327" s="1" t="s">
        <v>32</v>
      </c>
      <c r="K327" s="1" t="s">
        <v>33</v>
      </c>
      <c r="L327" s="2">
        <v>45808</v>
      </c>
      <c r="M327" s="2">
        <v>45839</v>
      </c>
      <c r="N327">
        <v>1571317</v>
      </c>
      <c r="O327">
        <v>26355</v>
      </c>
      <c r="P327">
        <v>1544962</v>
      </c>
      <c r="Q327" s="1" t="s">
        <v>47</v>
      </c>
      <c r="R327" s="1" t="s">
        <v>35</v>
      </c>
      <c r="S327" s="1" t="s">
        <v>36</v>
      </c>
      <c r="T327" s="1" t="s">
        <v>36</v>
      </c>
      <c r="U327">
        <v>3.6</v>
      </c>
      <c r="V327" t="s">
        <v>38</v>
      </c>
      <c r="W327">
        <v>7</v>
      </c>
      <c r="X327" s="1" t="s">
        <v>39</v>
      </c>
    </row>
    <row r="328" spans="1:24" x14ac:dyDescent="0.55000000000000004">
      <c r="A328" s="1" t="s">
        <v>412</v>
      </c>
      <c r="B328" s="1" t="s">
        <v>25</v>
      </c>
      <c r="C328">
        <v>40</v>
      </c>
      <c r="D328" s="1" t="s">
        <v>42</v>
      </c>
      <c r="E328" s="1" t="s">
        <v>90</v>
      </c>
      <c r="F328" s="1" t="s">
        <v>44</v>
      </c>
      <c r="G328" s="1" t="s">
        <v>29</v>
      </c>
      <c r="H328" s="1" t="s">
        <v>65</v>
      </c>
      <c r="I328" s="1" t="s">
        <v>59</v>
      </c>
      <c r="J328" s="1" t="s">
        <v>54</v>
      </c>
      <c r="K328" s="1" t="s">
        <v>46</v>
      </c>
      <c r="L328" s="2">
        <v>46081</v>
      </c>
      <c r="M328" s="2">
        <v>46114</v>
      </c>
      <c r="N328">
        <v>1749745</v>
      </c>
      <c r="O328">
        <v>69644</v>
      </c>
      <c r="P328">
        <v>1680101</v>
      </c>
      <c r="Q328" s="1" t="s">
        <v>47</v>
      </c>
      <c r="R328" s="1" t="s">
        <v>79</v>
      </c>
      <c r="S328" s="1" t="s">
        <v>37</v>
      </c>
      <c r="T328" s="1" t="s">
        <v>36</v>
      </c>
      <c r="U328">
        <v>4.5999999999999996</v>
      </c>
      <c r="V328" t="s">
        <v>38</v>
      </c>
      <c r="W328">
        <v>4</v>
      </c>
      <c r="X328" s="1" t="s">
        <v>63</v>
      </c>
    </row>
    <row r="329" spans="1:24" x14ac:dyDescent="0.55000000000000004">
      <c r="A329" s="1" t="s">
        <v>413</v>
      </c>
      <c r="B329" s="1" t="s">
        <v>70</v>
      </c>
      <c r="C329">
        <v>42</v>
      </c>
      <c r="D329" s="1" t="s">
        <v>42</v>
      </c>
      <c r="E329" s="1" t="s">
        <v>27</v>
      </c>
      <c r="F329" s="1" t="s">
        <v>28</v>
      </c>
      <c r="G329" s="1" t="s">
        <v>29</v>
      </c>
      <c r="H329" s="1" t="s">
        <v>30</v>
      </c>
      <c r="I329" s="1" t="s">
        <v>31</v>
      </c>
      <c r="J329" s="1" t="s">
        <v>32</v>
      </c>
      <c r="K329" s="1" t="s">
        <v>33</v>
      </c>
      <c r="L329" s="2">
        <v>46157</v>
      </c>
      <c r="M329" s="2">
        <v>46185</v>
      </c>
      <c r="N329">
        <v>1454829</v>
      </c>
      <c r="O329">
        <v>39053</v>
      </c>
      <c r="P329">
        <v>1415776</v>
      </c>
      <c r="Q329" s="1" t="s">
        <v>66</v>
      </c>
      <c r="R329" s="1" t="s">
        <v>67</v>
      </c>
      <c r="S329" s="1" t="s">
        <v>37</v>
      </c>
      <c r="T329" s="1" t="s">
        <v>36</v>
      </c>
      <c r="U329">
        <v>4</v>
      </c>
      <c r="V329" t="s">
        <v>38</v>
      </c>
      <c r="W329">
        <v>6</v>
      </c>
      <c r="X329" s="1" t="s">
        <v>68</v>
      </c>
    </row>
    <row r="330" spans="1:24" x14ac:dyDescent="0.55000000000000004">
      <c r="A330" s="1" t="s">
        <v>414</v>
      </c>
      <c r="B330" s="1" t="s">
        <v>62</v>
      </c>
      <c r="C330">
        <v>34</v>
      </c>
      <c r="D330" s="1" t="s">
        <v>42</v>
      </c>
      <c r="E330" s="1" t="s">
        <v>71</v>
      </c>
      <c r="F330" s="1" t="s">
        <v>72</v>
      </c>
      <c r="G330" s="1" t="s">
        <v>29</v>
      </c>
      <c r="H330" s="1" t="s">
        <v>30</v>
      </c>
      <c r="I330" s="1" t="s">
        <v>74</v>
      </c>
      <c r="J330" s="1" t="s">
        <v>54</v>
      </c>
      <c r="K330" s="1" t="s">
        <v>33</v>
      </c>
      <c r="L330" s="2">
        <v>45781</v>
      </c>
      <c r="M330" s="2">
        <v>45816</v>
      </c>
      <c r="N330">
        <v>1308733</v>
      </c>
      <c r="O330">
        <v>81556</v>
      </c>
      <c r="P330">
        <v>1227177</v>
      </c>
      <c r="Q330" s="1" t="s">
        <v>55</v>
      </c>
      <c r="R330" s="1" t="s">
        <v>35</v>
      </c>
      <c r="S330" s="1" t="s">
        <v>36</v>
      </c>
      <c r="T330" s="1" t="s">
        <v>36</v>
      </c>
      <c r="U330">
        <v>3.4</v>
      </c>
      <c r="V330" t="s">
        <v>38</v>
      </c>
      <c r="W330">
        <v>6</v>
      </c>
      <c r="X330" s="1" t="s">
        <v>68</v>
      </c>
    </row>
    <row r="331" spans="1:24" x14ac:dyDescent="0.55000000000000004">
      <c r="A331" s="1" t="s">
        <v>415</v>
      </c>
      <c r="B331" s="1" t="s">
        <v>25</v>
      </c>
      <c r="C331">
        <v>34</v>
      </c>
      <c r="D331" s="1" t="s">
        <v>42</v>
      </c>
      <c r="E331" s="1" t="s">
        <v>52</v>
      </c>
      <c r="F331" s="1" t="s">
        <v>44</v>
      </c>
      <c r="G331" s="1" t="s">
        <v>29</v>
      </c>
      <c r="H331" s="1" t="s">
        <v>65</v>
      </c>
      <c r="I331" s="1" t="s">
        <v>59</v>
      </c>
      <c r="J331" s="1" t="s">
        <v>32</v>
      </c>
      <c r="K331" s="1" t="s">
        <v>33</v>
      </c>
      <c r="L331" s="2">
        <v>46009</v>
      </c>
      <c r="M331" s="2">
        <v>46034</v>
      </c>
      <c r="N331">
        <v>1897768</v>
      </c>
      <c r="O331">
        <v>60846</v>
      </c>
      <c r="P331">
        <v>1836922</v>
      </c>
      <c r="Q331" s="1" t="s">
        <v>34</v>
      </c>
      <c r="R331" s="1" t="s">
        <v>79</v>
      </c>
      <c r="S331" s="1" t="s">
        <v>37</v>
      </c>
      <c r="T331" s="1" t="s">
        <v>36</v>
      </c>
      <c r="U331">
        <v>3.2</v>
      </c>
      <c r="V331" t="s">
        <v>38</v>
      </c>
      <c r="W331">
        <v>1</v>
      </c>
      <c r="X331" s="1" t="s">
        <v>88</v>
      </c>
    </row>
    <row r="332" spans="1:24" x14ac:dyDescent="0.55000000000000004">
      <c r="A332" s="1" t="s">
        <v>416</v>
      </c>
      <c r="B332" s="1" t="s">
        <v>83</v>
      </c>
      <c r="C332">
        <v>43</v>
      </c>
      <c r="D332" s="1" t="s">
        <v>42</v>
      </c>
      <c r="E332" s="1" t="s">
        <v>52</v>
      </c>
      <c r="F332" s="1" t="s">
        <v>44</v>
      </c>
      <c r="G332" s="1" t="s">
        <v>29</v>
      </c>
      <c r="H332" s="1" t="s">
        <v>30</v>
      </c>
      <c r="I332" s="1" t="s">
        <v>53</v>
      </c>
      <c r="J332" s="1" t="s">
        <v>32</v>
      </c>
      <c r="K332" s="1" t="s">
        <v>46</v>
      </c>
      <c r="L332" s="2">
        <v>45883</v>
      </c>
      <c r="M332" s="2">
        <v>45904</v>
      </c>
      <c r="N332">
        <v>1635923</v>
      </c>
      <c r="O332">
        <v>13721</v>
      </c>
      <c r="P332">
        <v>1622202</v>
      </c>
      <c r="Q332" s="1" t="s">
        <v>78</v>
      </c>
      <c r="R332" s="1" t="s">
        <v>79</v>
      </c>
      <c r="S332" s="1" t="s">
        <v>37</v>
      </c>
      <c r="T332" s="1" t="s">
        <v>36</v>
      </c>
      <c r="U332">
        <v>4</v>
      </c>
      <c r="V332" t="s">
        <v>38</v>
      </c>
      <c r="W332">
        <v>9</v>
      </c>
      <c r="X332" s="1" t="s">
        <v>103</v>
      </c>
    </row>
    <row r="333" spans="1:24" x14ac:dyDescent="0.55000000000000004">
      <c r="A333" s="1" t="s">
        <v>417</v>
      </c>
      <c r="B333" s="1" t="s">
        <v>25</v>
      </c>
      <c r="C333">
        <v>34</v>
      </c>
      <c r="D333" s="1" t="s">
        <v>42</v>
      </c>
      <c r="E333" s="1" t="s">
        <v>84</v>
      </c>
      <c r="F333" s="1" t="s">
        <v>85</v>
      </c>
      <c r="G333" s="1" t="s">
        <v>29</v>
      </c>
      <c r="H333" s="1" t="s">
        <v>77</v>
      </c>
      <c r="I333" s="1" t="s">
        <v>31</v>
      </c>
      <c r="J333" s="1" t="s">
        <v>32</v>
      </c>
      <c r="K333" s="1" t="s">
        <v>46</v>
      </c>
      <c r="L333" s="2">
        <v>45668</v>
      </c>
      <c r="M333" s="2">
        <v>45694</v>
      </c>
      <c r="N333">
        <v>1684853</v>
      </c>
      <c r="O333">
        <v>82665</v>
      </c>
      <c r="P333">
        <v>1602188</v>
      </c>
      <c r="Q333" s="1" t="s">
        <v>34</v>
      </c>
      <c r="R333" s="1" t="s">
        <v>35</v>
      </c>
      <c r="S333" s="1" t="s">
        <v>36</v>
      </c>
      <c r="T333" s="1" t="s">
        <v>37</v>
      </c>
      <c r="U333">
        <v>3.1</v>
      </c>
      <c r="V333" t="s">
        <v>38</v>
      </c>
      <c r="W333">
        <v>2</v>
      </c>
      <c r="X333" s="1" t="s">
        <v>107</v>
      </c>
    </row>
    <row r="334" spans="1:24" x14ac:dyDescent="0.55000000000000004">
      <c r="A334" s="1" t="s">
        <v>418</v>
      </c>
      <c r="B334" s="1" t="s">
        <v>25</v>
      </c>
      <c r="C334">
        <v>38</v>
      </c>
      <c r="D334" s="1" t="s">
        <v>26</v>
      </c>
      <c r="E334" s="1" t="s">
        <v>71</v>
      </c>
      <c r="F334" s="1" t="s">
        <v>72</v>
      </c>
      <c r="G334" s="1" t="s">
        <v>29</v>
      </c>
      <c r="H334" s="1" t="s">
        <v>65</v>
      </c>
      <c r="I334" s="1" t="s">
        <v>74</v>
      </c>
      <c r="J334" s="1" t="s">
        <v>32</v>
      </c>
      <c r="K334" s="1" t="s">
        <v>33</v>
      </c>
      <c r="L334" s="2">
        <v>46135</v>
      </c>
      <c r="M334" s="2">
        <v>46174</v>
      </c>
      <c r="N334">
        <v>1323679</v>
      </c>
      <c r="O334">
        <v>92805</v>
      </c>
      <c r="P334">
        <v>1230874</v>
      </c>
      <c r="Q334" s="1" t="s">
        <v>34</v>
      </c>
      <c r="R334" s="1" t="s">
        <v>48</v>
      </c>
      <c r="S334" s="1" t="s">
        <v>37</v>
      </c>
      <c r="T334" s="1" t="s">
        <v>37</v>
      </c>
      <c r="U334">
        <v>4.2</v>
      </c>
      <c r="V334" t="s">
        <v>38</v>
      </c>
      <c r="W334">
        <v>6</v>
      </c>
      <c r="X334" s="1" t="s">
        <v>68</v>
      </c>
    </row>
    <row r="335" spans="1:24" x14ac:dyDescent="0.55000000000000004">
      <c r="A335" s="1" t="s">
        <v>419</v>
      </c>
      <c r="B335" s="1" t="s">
        <v>81</v>
      </c>
      <c r="C335">
        <v>28</v>
      </c>
      <c r="D335" s="1" t="s">
        <v>26</v>
      </c>
      <c r="E335" s="1" t="s">
        <v>52</v>
      </c>
      <c r="F335" s="1" t="s">
        <v>44</v>
      </c>
      <c r="G335" s="1" t="s">
        <v>29</v>
      </c>
      <c r="H335" s="1" t="s">
        <v>30</v>
      </c>
      <c r="I335" s="1" t="s">
        <v>53</v>
      </c>
      <c r="J335" s="1" t="s">
        <v>54</v>
      </c>
      <c r="K335" s="1" t="s">
        <v>46</v>
      </c>
      <c r="L335" s="2">
        <v>45849</v>
      </c>
      <c r="M335" s="2">
        <v>45858</v>
      </c>
      <c r="N335">
        <v>1762144</v>
      </c>
      <c r="O335">
        <v>17873</v>
      </c>
      <c r="P335">
        <v>1744271</v>
      </c>
      <c r="Q335" s="1" t="s">
        <v>55</v>
      </c>
      <c r="R335" s="1" t="s">
        <v>48</v>
      </c>
      <c r="S335" s="1" t="s">
        <v>36</v>
      </c>
      <c r="T335" s="1" t="s">
        <v>36</v>
      </c>
      <c r="U335">
        <v>3.5</v>
      </c>
      <c r="V335" t="s">
        <v>91</v>
      </c>
      <c r="W335">
        <v>7</v>
      </c>
      <c r="X335" s="1" t="s">
        <v>39</v>
      </c>
    </row>
    <row r="336" spans="1:24" x14ac:dyDescent="0.55000000000000004">
      <c r="A336" s="1" t="s">
        <v>420</v>
      </c>
      <c r="B336" s="1" t="s">
        <v>62</v>
      </c>
      <c r="C336">
        <v>50</v>
      </c>
      <c r="D336" s="1" t="s">
        <v>42</v>
      </c>
      <c r="E336" s="1" t="s">
        <v>71</v>
      </c>
      <c r="F336" s="1" t="s">
        <v>72</v>
      </c>
      <c r="G336" s="1" t="s">
        <v>29</v>
      </c>
      <c r="H336" s="1" t="s">
        <v>30</v>
      </c>
      <c r="I336" s="1" t="s">
        <v>53</v>
      </c>
      <c r="J336" s="1" t="s">
        <v>54</v>
      </c>
      <c r="K336" s="1" t="s">
        <v>33</v>
      </c>
      <c r="L336" s="2">
        <v>45658</v>
      </c>
      <c r="M336" s="2">
        <v>45696</v>
      </c>
      <c r="N336">
        <v>1531954</v>
      </c>
      <c r="O336">
        <v>41014</v>
      </c>
      <c r="P336">
        <v>1490940</v>
      </c>
      <c r="Q336" s="1" t="s">
        <v>66</v>
      </c>
      <c r="R336" s="1" t="s">
        <v>48</v>
      </c>
      <c r="S336" s="1" t="s">
        <v>36</v>
      </c>
      <c r="T336" s="1" t="s">
        <v>37</v>
      </c>
      <c r="U336">
        <v>4.5999999999999996</v>
      </c>
      <c r="V336" t="s">
        <v>38</v>
      </c>
      <c r="W336">
        <v>2</v>
      </c>
      <c r="X336" s="1" t="s">
        <v>107</v>
      </c>
    </row>
    <row r="337" spans="1:24" x14ac:dyDescent="0.55000000000000004">
      <c r="A337" s="1" t="s">
        <v>421</v>
      </c>
      <c r="B337" s="1" t="s">
        <v>81</v>
      </c>
      <c r="C337">
        <v>27</v>
      </c>
      <c r="D337" s="1" t="s">
        <v>26</v>
      </c>
      <c r="E337" s="1" t="s">
        <v>43</v>
      </c>
      <c r="F337" s="1" t="s">
        <v>44</v>
      </c>
      <c r="G337" s="1" t="s">
        <v>29</v>
      </c>
      <c r="H337" s="1" t="s">
        <v>30</v>
      </c>
      <c r="I337" s="1" t="s">
        <v>59</v>
      </c>
      <c r="J337" s="1" t="s">
        <v>54</v>
      </c>
      <c r="K337" s="1" t="s">
        <v>46</v>
      </c>
      <c r="L337" s="2">
        <v>45670</v>
      </c>
      <c r="M337" s="2">
        <v>45700</v>
      </c>
      <c r="N337">
        <v>1800308</v>
      </c>
      <c r="O337">
        <v>70374</v>
      </c>
      <c r="P337">
        <v>1729934</v>
      </c>
      <c r="Q337" s="1" t="s">
        <v>66</v>
      </c>
      <c r="R337" s="1" t="s">
        <v>48</v>
      </c>
      <c r="S337" s="1" t="s">
        <v>36</v>
      </c>
      <c r="T337" s="1" t="s">
        <v>37</v>
      </c>
      <c r="U337">
        <v>4.5999999999999996</v>
      </c>
      <c r="V337" t="s">
        <v>38</v>
      </c>
      <c r="W337">
        <v>2</v>
      </c>
      <c r="X337" s="1" t="s">
        <v>107</v>
      </c>
    </row>
    <row r="338" spans="1:24" x14ac:dyDescent="0.55000000000000004">
      <c r="A338" s="1" t="s">
        <v>422</v>
      </c>
      <c r="B338" s="1" t="s">
        <v>62</v>
      </c>
      <c r="C338">
        <v>34</v>
      </c>
      <c r="D338" s="1" t="s">
        <v>26</v>
      </c>
      <c r="E338" s="1" t="s">
        <v>90</v>
      </c>
      <c r="F338" s="1" t="s">
        <v>44</v>
      </c>
      <c r="G338" s="1" t="s">
        <v>29</v>
      </c>
      <c r="H338" s="1" t="s">
        <v>77</v>
      </c>
      <c r="I338" s="1" t="s">
        <v>74</v>
      </c>
      <c r="J338" s="1" t="s">
        <v>32</v>
      </c>
      <c r="K338" s="1" t="s">
        <v>46</v>
      </c>
      <c r="L338" s="2">
        <v>46120</v>
      </c>
      <c r="M338" s="2">
        <v>46133</v>
      </c>
      <c r="N338">
        <v>1555925</v>
      </c>
      <c r="O338">
        <v>92370</v>
      </c>
      <c r="P338">
        <v>1463555</v>
      </c>
      <c r="Q338" s="1" t="s">
        <v>66</v>
      </c>
      <c r="R338" s="1" t="s">
        <v>109</v>
      </c>
      <c r="S338" s="1" t="s">
        <v>37</v>
      </c>
      <c r="T338" s="1" t="s">
        <v>37</v>
      </c>
      <c r="U338">
        <v>3.7</v>
      </c>
      <c r="V338" t="s">
        <v>56</v>
      </c>
      <c r="W338">
        <v>4</v>
      </c>
      <c r="X338" s="1" t="s">
        <v>63</v>
      </c>
    </row>
    <row r="339" spans="1:24" x14ac:dyDescent="0.55000000000000004">
      <c r="A339" s="1" t="s">
        <v>423</v>
      </c>
      <c r="B339" s="1" t="s">
        <v>81</v>
      </c>
      <c r="C339">
        <v>22</v>
      </c>
      <c r="D339" s="1" t="s">
        <v>42</v>
      </c>
      <c r="E339" s="1" t="s">
        <v>90</v>
      </c>
      <c r="F339" s="1" t="s">
        <v>44</v>
      </c>
      <c r="G339" s="1" t="s">
        <v>29</v>
      </c>
      <c r="H339" s="1" t="s">
        <v>65</v>
      </c>
      <c r="I339" s="1" t="s">
        <v>31</v>
      </c>
      <c r="J339" s="1" t="s">
        <v>54</v>
      </c>
      <c r="K339" s="1" t="s">
        <v>46</v>
      </c>
      <c r="L339" s="2">
        <v>45706</v>
      </c>
      <c r="M339" s="2">
        <v>45715</v>
      </c>
      <c r="N339">
        <v>1689904</v>
      </c>
      <c r="O339">
        <v>89655</v>
      </c>
      <c r="P339">
        <v>1600249</v>
      </c>
      <c r="Q339" s="1" t="s">
        <v>55</v>
      </c>
      <c r="R339" s="1" t="s">
        <v>67</v>
      </c>
      <c r="S339" s="1" t="s">
        <v>37</v>
      </c>
      <c r="T339" s="1" t="s">
        <v>36</v>
      </c>
      <c r="U339">
        <v>3.5</v>
      </c>
      <c r="V339" t="s">
        <v>91</v>
      </c>
      <c r="W339">
        <v>2</v>
      </c>
      <c r="X339" s="1" t="s">
        <v>107</v>
      </c>
    </row>
    <row r="340" spans="1:24" x14ac:dyDescent="0.55000000000000004">
      <c r="A340" s="1" t="s">
        <v>424</v>
      </c>
      <c r="B340" s="1" t="s">
        <v>81</v>
      </c>
      <c r="C340">
        <v>59</v>
      </c>
      <c r="D340" s="1" t="s">
        <v>26</v>
      </c>
      <c r="E340" s="1" t="s">
        <v>52</v>
      </c>
      <c r="F340" s="1" t="s">
        <v>44</v>
      </c>
      <c r="G340" s="1" t="s">
        <v>29</v>
      </c>
      <c r="H340" s="1" t="s">
        <v>77</v>
      </c>
      <c r="I340" s="1" t="s">
        <v>31</v>
      </c>
      <c r="J340" s="1" t="s">
        <v>32</v>
      </c>
      <c r="K340" s="1" t="s">
        <v>33</v>
      </c>
      <c r="L340" s="2">
        <v>46033</v>
      </c>
      <c r="M340" s="2">
        <v>46057</v>
      </c>
      <c r="N340">
        <v>1640362</v>
      </c>
      <c r="O340">
        <v>39190</v>
      </c>
      <c r="P340">
        <v>1601172</v>
      </c>
      <c r="Q340" s="1" t="s">
        <v>66</v>
      </c>
      <c r="R340" s="1" t="s">
        <v>48</v>
      </c>
      <c r="S340" s="1" t="s">
        <v>36</v>
      </c>
      <c r="T340" s="1" t="s">
        <v>37</v>
      </c>
      <c r="U340">
        <v>4.8</v>
      </c>
      <c r="V340" t="s">
        <v>38</v>
      </c>
      <c r="W340">
        <v>2</v>
      </c>
      <c r="X340" s="1" t="s">
        <v>107</v>
      </c>
    </row>
    <row r="341" spans="1:24" x14ac:dyDescent="0.55000000000000004">
      <c r="A341" s="1" t="s">
        <v>425</v>
      </c>
      <c r="B341" s="1" t="s">
        <v>98</v>
      </c>
      <c r="C341">
        <v>57</v>
      </c>
      <c r="D341" s="1" t="s">
        <v>26</v>
      </c>
      <c r="E341" s="1" t="s">
        <v>52</v>
      </c>
      <c r="F341" s="1" t="s">
        <v>44</v>
      </c>
      <c r="G341" s="1" t="s">
        <v>29</v>
      </c>
      <c r="H341" s="1" t="s">
        <v>65</v>
      </c>
      <c r="I341" s="1" t="s">
        <v>74</v>
      </c>
      <c r="J341" s="1" t="s">
        <v>32</v>
      </c>
      <c r="K341" s="1" t="s">
        <v>46</v>
      </c>
      <c r="L341" s="2">
        <v>46076</v>
      </c>
      <c r="M341" s="2">
        <v>46089</v>
      </c>
      <c r="N341">
        <v>1479218</v>
      </c>
      <c r="O341">
        <v>19764</v>
      </c>
      <c r="P341">
        <v>1459454</v>
      </c>
      <c r="Q341" s="1" t="s">
        <v>78</v>
      </c>
      <c r="R341" s="1" t="s">
        <v>67</v>
      </c>
      <c r="S341" s="1" t="s">
        <v>36</v>
      </c>
      <c r="T341" s="1" t="s">
        <v>36</v>
      </c>
      <c r="U341">
        <v>3.3</v>
      </c>
      <c r="V341" t="s">
        <v>56</v>
      </c>
      <c r="W341">
        <v>3</v>
      </c>
      <c r="X341" s="1" t="s">
        <v>96</v>
      </c>
    </row>
    <row r="342" spans="1:24" x14ac:dyDescent="0.55000000000000004">
      <c r="A342" s="1" t="s">
        <v>426</v>
      </c>
      <c r="B342" s="1" t="s">
        <v>25</v>
      </c>
      <c r="C342">
        <v>49</v>
      </c>
      <c r="D342" s="1" t="s">
        <v>42</v>
      </c>
      <c r="E342" s="1" t="s">
        <v>52</v>
      </c>
      <c r="F342" s="1" t="s">
        <v>44</v>
      </c>
      <c r="G342" s="1" t="s">
        <v>29</v>
      </c>
      <c r="H342" s="1" t="s">
        <v>65</v>
      </c>
      <c r="I342" s="1" t="s">
        <v>74</v>
      </c>
      <c r="J342" s="1" t="s">
        <v>54</v>
      </c>
      <c r="K342" s="1" t="s">
        <v>33</v>
      </c>
      <c r="L342" s="2">
        <v>46071</v>
      </c>
      <c r="M342" s="2">
        <v>46099</v>
      </c>
      <c r="N342">
        <v>1677998</v>
      </c>
      <c r="O342">
        <v>94963</v>
      </c>
      <c r="P342">
        <v>1583035</v>
      </c>
      <c r="Q342" s="1" t="s">
        <v>34</v>
      </c>
      <c r="R342" s="1" t="s">
        <v>35</v>
      </c>
      <c r="S342" s="1" t="s">
        <v>36</v>
      </c>
      <c r="T342" s="1" t="s">
        <v>37</v>
      </c>
      <c r="U342">
        <v>4.5</v>
      </c>
      <c r="V342" t="s">
        <v>38</v>
      </c>
      <c r="W342">
        <v>3</v>
      </c>
      <c r="X342" s="1" t="s">
        <v>96</v>
      </c>
    </row>
    <row r="343" spans="1:24" x14ac:dyDescent="0.55000000000000004">
      <c r="A343" s="1" t="s">
        <v>427</v>
      </c>
      <c r="B343" s="1" t="s">
        <v>93</v>
      </c>
      <c r="C343">
        <v>60</v>
      </c>
      <c r="D343" s="1" t="s">
        <v>42</v>
      </c>
      <c r="E343" s="1" t="s">
        <v>52</v>
      </c>
      <c r="F343" s="1" t="s">
        <v>44</v>
      </c>
      <c r="G343" s="1" t="s">
        <v>29</v>
      </c>
      <c r="H343" s="1" t="s">
        <v>30</v>
      </c>
      <c r="I343" s="1" t="s">
        <v>45</v>
      </c>
      <c r="J343" s="1" t="s">
        <v>32</v>
      </c>
      <c r="K343" s="1" t="s">
        <v>33</v>
      </c>
      <c r="L343" s="2">
        <v>46022</v>
      </c>
      <c r="M343" s="2">
        <v>46062</v>
      </c>
      <c r="N343">
        <v>1800791</v>
      </c>
      <c r="O343">
        <v>72607</v>
      </c>
      <c r="P343">
        <v>1728184</v>
      </c>
      <c r="Q343" s="1" t="s">
        <v>55</v>
      </c>
      <c r="R343" s="1" t="s">
        <v>79</v>
      </c>
      <c r="S343" s="1" t="s">
        <v>36</v>
      </c>
      <c r="T343" s="1" t="s">
        <v>37</v>
      </c>
      <c r="U343">
        <v>3</v>
      </c>
      <c r="V343" t="s">
        <v>38</v>
      </c>
      <c r="W343">
        <v>2</v>
      </c>
      <c r="X343" s="1" t="s">
        <v>107</v>
      </c>
    </row>
    <row r="344" spans="1:24" x14ac:dyDescent="0.55000000000000004">
      <c r="A344" s="1" t="s">
        <v>428</v>
      </c>
      <c r="B344" s="1" t="s">
        <v>98</v>
      </c>
      <c r="C344">
        <v>57</v>
      </c>
      <c r="D344" s="1" t="s">
        <v>42</v>
      </c>
      <c r="E344" s="1" t="s">
        <v>84</v>
      </c>
      <c r="F344" s="1" t="s">
        <v>85</v>
      </c>
      <c r="G344" s="1" t="s">
        <v>29</v>
      </c>
      <c r="H344" s="1" t="s">
        <v>30</v>
      </c>
      <c r="I344" s="1" t="s">
        <v>74</v>
      </c>
      <c r="J344" s="1" t="s">
        <v>54</v>
      </c>
      <c r="K344" s="1" t="s">
        <v>46</v>
      </c>
      <c r="L344" s="2">
        <v>45728</v>
      </c>
      <c r="M344" s="2">
        <v>45745</v>
      </c>
      <c r="N344">
        <v>1355718</v>
      </c>
      <c r="O344">
        <v>79308</v>
      </c>
      <c r="P344">
        <v>1276410</v>
      </c>
      <c r="Q344" s="1" t="s">
        <v>34</v>
      </c>
      <c r="R344" s="1" t="s">
        <v>35</v>
      </c>
      <c r="S344" s="1" t="s">
        <v>37</v>
      </c>
      <c r="T344" s="1" t="s">
        <v>36</v>
      </c>
      <c r="U344">
        <v>3.3</v>
      </c>
      <c r="V344" t="s">
        <v>56</v>
      </c>
      <c r="W344">
        <v>3</v>
      </c>
      <c r="X344" s="1" t="s">
        <v>96</v>
      </c>
    </row>
    <row r="345" spans="1:24" x14ac:dyDescent="0.55000000000000004">
      <c r="A345" s="1" t="s">
        <v>429</v>
      </c>
      <c r="B345" s="1" t="s">
        <v>81</v>
      </c>
      <c r="C345">
        <v>39</v>
      </c>
      <c r="D345" s="1" t="s">
        <v>42</v>
      </c>
      <c r="E345" s="1" t="s">
        <v>71</v>
      </c>
      <c r="F345" s="1" t="s">
        <v>72</v>
      </c>
      <c r="G345" s="1" t="s">
        <v>29</v>
      </c>
      <c r="H345" s="1" t="s">
        <v>30</v>
      </c>
      <c r="I345" s="1" t="s">
        <v>59</v>
      </c>
      <c r="J345" s="1" t="s">
        <v>54</v>
      </c>
      <c r="K345" s="1" t="s">
        <v>46</v>
      </c>
      <c r="L345" s="2">
        <v>45680</v>
      </c>
      <c r="M345" s="2">
        <v>45690</v>
      </c>
      <c r="N345">
        <v>1356369</v>
      </c>
      <c r="O345">
        <v>97651</v>
      </c>
      <c r="P345">
        <v>1258718</v>
      </c>
      <c r="Q345" s="1" t="s">
        <v>78</v>
      </c>
      <c r="R345" s="1" t="s">
        <v>48</v>
      </c>
      <c r="S345" s="1" t="s">
        <v>36</v>
      </c>
      <c r="T345" s="1" t="s">
        <v>37</v>
      </c>
      <c r="U345">
        <v>3.3</v>
      </c>
      <c r="V345" t="s">
        <v>91</v>
      </c>
      <c r="W345">
        <v>2</v>
      </c>
      <c r="X345" s="1" t="s">
        <v>107</v>
      </c>
    </row>
    <row r="346" spans="1:24" x14ac:dyDescent="0.55000000000000004">
      <c r="A346" s="1" t="s">
        <v>430</v>
      </c>
      <c r="B346" s="1" t="s">
        <v>98</v>
      </c>
      <c r="C346">
        <v>43</v>
      </c>
      <c r="D346" s="1" t="s">
        <v>26</v>
      </c>
      <c r="E346" s="1" t="s">
        <v>27</v>
      </c>
      <c r="F346" s="1" t="s">
        <v>28</v>
      </c>
      <c r="G346" s="1" t="s">
        <v>29</v>
      </c>
      <c r="H346" s="1" t="s">
        <v>65</v>
      </c>
      <c r="I346" s="1" t="s">
        <v>59</v>
      </c>
      <c r="J346" s="1" t="s">
        <v>32</v>
      </c>
      <c r="K346" s="1" t="s">
        <v>46</v>
      </c>
      <c r="L346" s="2">
        <v>46101</v>
      </c>
      <c r="M346" s="2">
        <v>46143</v>
      </c>
      <c r="N346">
        <v>1655965</v>
      </c>
      <c r="O346">
        <v>63695</v>
      </c>
      <c r="P346">
        <v>1592270</v>
      </c>
      <c r="Q346" s="1" t="s">
        <v>78</v>
      </c>
      <c r="R346" s="1" t="s">
        <v>109</v>
      </c>
      <c r="S346" s="1" t="s">
        <v>37</v>
      </c>
      <c r="T346" s="1" t="s">
        <v>37</v>
      </c>
      <c r="U346">
        <v>3.9</v>
      </c>
      <c r="V346" t="s">
        <v>38</v>
      </c>
      <c r="W346">
        <v>5</v>
      </c>
      <c r="X346" s="1" t="s">
        <v>86</v>
      </c>
    </row>
    <row r="347" spans="1:24" x14ac:dyDescent="0.55000000000000004">
      <c r="A347" s="1" t="s">
        <v>431</v>
      </c>
      <c r="B347" s="1" t="s">
        <v>98</v>
      </c>
      <c r="C347">
        <v>52</v>
      </c>
      <c r="D347" s="1" t="s">
        <v>26</v>
      </c>
      <c r="E347" s="1" t="s">
        <v>52</v>
      </c>
      <c r="F347" s="1" t="s">
        <v>44</v>
      </c>
      <c r="G347" s="1" t="s">
        <v>29</v>
      </c>
      <c r="H347" s="1" t="s">
        <v>30</v>
      </c>
      <c r="I347" s="1" t="s">
        <v>59</v>
      </c>
      <c r="J347" s="1" t="s">
        <v>54</v>
      </c>
      <c r="K347" s="1" t="s">
        <v>46</v>
      </c>
      <c r="L347" s="2">
        <v>45835</v>
      </c>
      <c r="M347" s="2">
        <v>45873</v>
      </c>
      <c r="N347">
        <v>1419583</v>
      </c>
      <c r="O347">
        <v>17727</v>
      </c>
      <c r="P347">
        <v>1401856</v>
      </c>
      <c r="Q347" s="1" t="s">
        <v>78</v>
      </c>
      <c r="R347" s="1" t="s">
        <v>79</v>
      </c>
      <c r="S347" s="1" t="s">
        <v>36</v>
      </c>
      <c r="T347" s="1" t="s">
        <v>36</v>
      </c>
      <c r="U347">
        <v>4.8</v>
      </c>
      <c r="V347" t="s">
        <v>38</v>
      </c>
      <c r="W347">
        <v>8</v>
      </c>
      <c r="X347" s="1" t="s">
        <v>57</v>
      </c>
    </row>
    <row r="348" spans="1:24" x14ac:dyDescent="0.55000000000000004">
      <c r="A348" s="1" t="s">
        <v>432</v>
      </c>
      <c r="B348" s="1" t="s">
        <v>70</v>
      </c>
      <c r="C348">
        <v>26</v>
      </c>
      <c r="D348" s="1" t="s">
        <v>26</v>
      </c>
      <c r="E348" s="1" t="s">
        <v>84</v>
      </c>
      <c r="F348" s="1" t="s">
        <v>85</v>
      </c>
      <c r="G348" s="1" t="s">
        <v>29</v>
      </c>
      <c r="H348" s="1" t="s">
        <v>77</v>
      </c>
      <c r="I348" s="1" t="s">
        <v>45</v>
      </c>
      <c r="J348" s="1" t="s">
        <v>32</v>
      </c>
      <c r="K348" s="1" t="s">
        <v>46</v>
      </c>
      <c r="L348" s="2">
        <v>46012</v>
      </c>
      <c r="M348" s="2">
        <v>46034</v>
      </c>
      <c r="N348">
        <v>1784421</v>
      </c>
      <c r="O348">
        <v>14993</v>
      </c>
      <c r="P348">
        <v>1769428</v>
      </c>
      <c r="Q348" s="1" t="s">
        <v>47</v>
      </c>
      <c r="R348" s="1" t="s">
        <v>48</v>
      </c>
      <c r="S348" s="1" t="s">
        <v>37</v>
      </c>
      <c r="T348" s="1" t="s">
        <v>37</v>
      </c>
      <c r="U348">
        <v>3.1</v>
      </c>
      <c r="V348" t="s">
        <v>38</v>
      </c>
      <c r="W348">
        <v>1</v>
      </c>
      <c r="X348" s="1" t="s">
        <v>88</v>
      </c>
    </row>
    <row r="349" spans="1:24" x14ac:dyDescent="0.55000000000000004">
      <c r="A349" s="1" t="s">
        <v>433</v>
      </c>
      <c r="B349" s="1" t="s">
        <v>25</v>
      </c>
      <c r="C349">
        <v>47</v>
      </c>
      <c r="D349" s="1" t="s">
        <v>42</v>
      </c>
      <c r="E349" s="1" t="s">
        <v>43</v>
      </c>
      <c r="F349" s="1" t="s">
        <v>44</v>
      </c>
      <c r="G349" s="1" t="s">
        <v>29</v>
      </c>
      <c r="H349" s="1" t="s">
        <v>65</v>
      </c>
      <c r="I349" s="1" t="s">
        <v>45</v>
      </c>
      <c r="J349" s="1" t="s">
        <v>54</v>
      </c>
      <c r="K349" s="1" t="s">
        <v>46</v>
      </c>
      <c r="L349" s="2">
        <v>46138</v>
      </c>
      <c r="M349" s="2">
        <v>46180</v>
      </c>
      <c r="N349">
        <v>1853692</v>
      </c>
      <c r="O349">
        <v>95413</v>
      </c>
      <c r="P349">
        <v>1758279</v>
      </c>
      <c r="Q349" s="1" t="s">
        <v>34</v>
      </c>
      <c r="R349" s="1" t="s">
        <v>67</v>
      </c>
      <c r="S349" s="1" t="s">
        <v>36</v>
      </c>
      <c r="T349" s="1" t="s">
        <v>36</v>
      </c>
      <c r="U349">
        <v>3.4</v>
      </c>
      <c r="V349" t="s">
        <v>38</v>
      </c>
      <c r="W349">
        <v>6</v>
      </c>
      <c r="X349" s="1" t="s">
        <v>68</v>
      </c>
    </row>
    <row r="350" spans="1:24" x14ac:dyDescent="0.55000000000000004">
      <c r="A350" s="1" t="s">
        <v>434</v>
      </c>
      <c r="B350" s="1" t="s">
        <v>81</v>
      </c>
      <c r="C350">
        <v>41</v>
      </c>
      <c r="D350" s="1" t="s">
        <v>26</v>
      </c>
      <c r="E350" s="1" t="s">
        <v>27</v>
      </c>
      <c r="F350" s="1" t="s">
        <v>28</v>
      </c>
      <c r="G350" s="1" t="s">
        <v>29</v>
      </c>
      <c r="H350" s="1" t="s">
        <v>30</v>
      </c>
      <c r="I350" s="1" t="s">
        <v>59</v>
      </c>
      <c r="J350" s="1" t="s">
        <v>32</v>
      </c>
      <c r="K350" s="1" t="s">
        <v>33</v>
      </c>
      <c r="L350" s="2">
        <v>45732</v>
      </c>
      <c r="M350" s="2">
        <v>45748</v>
      </c>
      <c r="N350">
        <v>1687401</v>
      </c>
      <c r="O350">
        <v>48626</v>
      </c>
      <c r="P350">
        <v>1638775</v>
      </c>
      <c r="Q350" s="1" t="s">
        <v>55</v>
      </c>
      <c r="R350" s="1" t="s">
        <v>48</v>
      </c>
      <c r="S350" s="1" t="s">
        <v>37</v>
      </c>
      <c r="T350" s="1" t="s">
        <v>36</v>
      </c>
      <c r="U350">
        <v>4.0999999999999996</v>
      </c>
      <c r="V350" t="s">
        <v>56</v>
      </c>
      <c r="W350">
        <v>4</v>
      </c>
      <c r="X350" s="1" t="s">
        <v>63</v>
      </c>
    </row>
    <row r="351" spans="1:24" x14ac:dyDescent="0.55000000000000004">
      <c r="A351" s="1" t="s">
        <v>435</v>
      </c>
      <c r="B351" s="1" t="s">
        <v>81</v>
      </c>
      <c r="C351">
        <v>32</v>
      </c>
      <c r="D351" s="1" t="s">
        <v>42</v>
      </c>
      <c r="E351" s="1" t="s">
        <v>71</v>
      </c>
      <c r="F351" s="1" t="s">
        <v>72</v>
      </c>
      <c r="G351" s="1" t="s">
        <v>29</v>
      </c>
      <c r="H351" s="1" t="s">
        <v>30</v>
      </c>
      <c r="I351" s="1" t="s">
        <v>53</v>
      </c>
      <c r="J351" s="1" t="s">
        <v>54</v>
      </c>
      <c r="K351" s="1" t="s">
        <v>46</v>
      </c>
      <c r="L351" s="2">
        <v>45809</v>
      </c>
      <c r="M351" s="2">
        <v>45822</v>
      </c>
      <c r="N351">
        <v>1648099</v>
      </c>
      <c r="O351">
        <v>13114</v>
      </c>
      <c r="P351">
        <v>1634985</v>
      </c>
      <c r="Q351" s="1" t="s">
        <v>55</v>
      </c>
      <c r="R351" s="1" t="s">
        <v>48</v>
      </c>
      <c r="S351" s="1" t="s">
        <v>37</v>
      </c>
      <c r="T351" s="1" t="s">
        <v>37</v>
      </c>
      <c r="U351">
        <v>3.4</v>
      </c>
      <c r="V351" t="s">
        <v>56</v>
      </c>
      <c r="W351">
        <v>6</v>
      </c>
      <c r="X351" s="1" t="s">
        <v>68</v>
      </c>
    </row>
    <row r="352" spans="1:24" x14ac:dyDescent="0.55000000000000004">
      <c r="A352" s="1" t="s">
        <v>436</v>
      </c>
      <c r="B352" s="1" t="s">
        <v>62</v>
      </c>
      <c r="C352">
        <v>27</v>
      </c>
      <c r="D352" s="1" t="s">
        <v>26</v>
      </c>
      <c r="E352" s="1" t="s">
        <v>84</v>
      </c>
      <c r="F352" s="1" t="s">
        <v>85</v>
      </c>
      <c r="G352" s="1" t="s">
        <v>29</v>
      </c>
      <c r="H352" s="1" t="s">
        <v>30</v>
      </c>
      <c r="I352" s="1" t="s">
        <v>59</v>
      </c>
      <c r="J352" s="1" t="s">
        <v>54</v>
      </c>
      <c r="K352" s="1" t="s">
        <v>46</v>
      </c>
      <c r="L352" s="2">
        <v>45732</v>
      </c>
      <c r="M352" s="2">
        <v>45754</v>
      </c>
      <c r="N352">
        <v>1401168</v>
      </c>
      <c r="O352">
        <v>55585</v>
      </c>
      <c r="P352">
        <v>1345583</v>
      </c>
      <c r="Q352" s="1" t="s">
        <v>47</v>
      </c>
      <c r="R352" s="1" t="s">
        <v>48</v>
      </c>
      <c r="S352" s="1" t="s">
        <v>37</v>
      </c>
      <c r="T352" s="1" t="s">
        <v>36</v>
      </c>
      <c r="U352">
        <v>4.2</v>
      </c>
      <c r="V352" t="s">
        <v>38</v>
      </c>
      <c r="W352">
        <v>4</v>
      </c>
      <c r="X352" s="1" t="s">
        <v>63</v>
      </c>
    </row>
    <row r="353" spans="1:24" x14ac:dyDescent="0.55000000000000004">
      <c r="A353" s="1" t="s">
        <v>437</v>
      </c>
      <c r="B353" s="1" t="s">
        <v>81</v>
      </c>
      <c r="C353">
        <v>30</v>
      </c>
      <c r="D353" s="1" t="s">
        <v>42</v>
      </c>
      <c r="E353" s="1" t="s">
        <v>27</v>
      </c>
      <c r="F353" s="1" t="s">
        <v>28</v>
      </c>
      <c r="G353" s="1" t="s">
        <v>29</v>
      </c>
      <c r="H353" s="1" t="s">
        <v>65</v>
      </c>
      <c r="I353" s="1" t="s">
        <v>45</v>
      </c>
      <c r="J353" s="1" t="s">
        <v>32</v>
      </c>
      <c r="K353" s="1" t="s">
        <v>33</v>
      </c>
      <c r="L353" s="2">
        <v>45870</v>
      </c>
      <c r="M353" s="2">
        <v>45886</v>
      </c>
      <c r="N353">
        <v>1413459</v>
      </c>
      <c r="O353">
        <v>80726</v>
      </c>
      <c r="P353">
        <v>1332733</v>
      </c>
      <c r="Q353" s="1" t="s">
        <v>66</v>
      </c>
      <c r="R353" s="1" t="s">
        <v>67</v>
      </c>
      <c r="S353" s="1" t="s">
        <v>37</v>
      </c>
      <c r="T353" s="1" t="s">
        <v>37</v>
      </c>
      <c r="U353">
        <v>4.5999999999999996</v>
      </c>
      <c r="V353" t="s">
        <v>56</v>
      </c>
      <c r="W353">
        <v>8</v>
      </c>
      <c r="X353" s="1" t="s">
        <v>57</v>
      </c>
    </row>
    <row r="354" spans="1:24" x14ac:dyDescent="0.55000000000000004">
      <c r="A354" s="1" t="s">
        <v>438</v>
      </c>
      <c r="B354" s="1" t="s">
        <v>51</v>
      </c>
      <c r="C354">
        <v>54</v>
      </c>
      <c r="D354" s="1" t="s">
        <v>42</v>
      </c>
      <c r="E354" s="1" t="s">
        <v>71</v>
      </c>
      <c r="F354" s="1" t="s">
        <v>72</v>
      </c>
      <c r="G354" s="1" t="s">
        <v>29</v>
      </c>
      <c r="H354" s="1" t="s">
        <v>30</v>
      </c>
      <c r="I354" s="1" t="s">
        <v>59</v>
      </c>
      <c r="J354" s="1" t="s">
        <v>32</v>
      </c>
      <c r="K354" s="1" t="s">
        <v>46</v>
      </c>
      <c r="L354" s="2">
        <v>45998</v>
      </c>
      <c r="M354" s="2">
        <v>46021</v>
      </c>
      <c r="N354">
        <v>1490295</v>
      </c>
      <c r="O354">
        <v>20110</v>
      </c>
      <c r="P354">
        <v>1470185</v>
      </c>
      <c r="Q354" s="1" t="s">
        <v>47</v>
      </c>
      <c r="R354" s="1" t="s">
        <v>48</v>
      </c>
      <c r="S354" s="1" t="s">
        <v>36</v>
      </c>
      <c r="T354" s="1" t="s">
        <v>36</v>
      </c>
      <c r="U354">
        <v>3.8</v>
      </c>
      <c r="V354" t="s">
        <v>38</v>
      </c>
      <c r="W354">
        <v>12</v>
      </c>
      <c r="X354" s="1" t="s">
        <v>49</v>
      </c>
    </row>
    <row r="355" spans="1:24" x14ac:dyDescent="0.55000000000000004">
      <c r="A355" s="1" t="s">
        <v>439</v>
      </c>
      <c r="B355" s="1" t="s">
        <v>41</v>
      </c>
      <c r="C355">
        <v>53</v>
      </c>
      <c r="D355" s="1" t="s">
        <v>42</v>
      </c>
      <c r="E355" s="1" t="s">
        <v>52</v>
      </c>
      <c r="F355" s="1" t="s">
        <v>44</v>
      </c>
      <c r="G355" s="1" t="s">
        <v>29</v>
      </c>
      <c r="H355" s="1" t="s">
        <v>65</v>
      </c>
      <c r="I355" s="1" t="s">
        <v>74</v>
      </c>
      <c r="J355" s="1" t="s">
        <v>32</v>
      </c>
      <c r="K355" s="1" t="s">
        <v>33</v>
      </c>
      <c r="L355" s="2">
        <v>45821</v>
      </c>
      <c r="M355" s="2">
        <v>45843</v>
      </c>
      <c r="N355">
        <v>1739371</v>
      </c>
      <c r="O355">
        <v>31218</v>
      </c>
      <c r="P355">
        <v>1708153</v>
      </c>
      <c r="Q355" s="1" t="s">
        <v>55</v>
      </c>
      <c r="R355" s="1" t="s">
        <v>79</v>
      </c>
      <c r="S355" s="1" t="s">
        <v>36</v>
      </c>
      <c r="T355" s="1" t="s">
        <v>36</v>
      </c>
      <c r="U355">
        <v>4.9000000000000004</v>
      </c>
      <c r="V355" t="s">
        <v>38</v>
      </c>
      <c r="W355">
        <v>7</v>
      </c>
      <c r="X355" s="1" t="s">
        <v>39</v>
      </c>
    </row>
    <row r="356" spans="1:24" x14ac:dyDescent="0.55000000000000004">
      <c r="A356" s="1" t="s">
        <v>440</v>
      </c>
      <c r="B356" s="1" t="s">
        <v>51</v>
      </c>
      <c r="C356">
        <v>34</v>
      </c>
      <c r="D356" s="1" t="s">
        <v>26</v>
      </c>
      <c r="E356" s="1" t="s">
        <v>71</v>
      </c>
      <c r="F356" s="1" t="s">
        <v>72</v>
      </c>
      <c r="G356" s="1" t="s">
        <v>29</v>
      </c>
      <c r="H356" s="1" t="s">
        <v>65</v>
      </c>
      <c r="I356" s="1" t="s">
        <v>31</v>
      </c>
      <c r="J356" s="1" t="s">
        <v>54</v>
      </c>
      <c r="K356" s="1" t="s">
        <v>33</v>
      </c>
      <c r="L356" s="2">
        <v>45879</v>
      </c>
      <c r="M356" s="2">
        <v>45915</v>
      </c>
      <c r="N356">
        <v>1519611</v>
      </c>
      <c r="O356">
        <v>95047</v>
      </c>
      <c r="P356">
        <v>1424564</v>
      </c>
      <c r="Q356" s="1" t="s">
        <v>66</v>
      </c>
      <c r="R356" s="1" t="s">
        <v>48</v>
      </c>
      <c r="S356" s="1" t="s">
        <v>36</v>
      </c>
      <c r="T356" s="1" t="s">
        <v>37</v>
      </c>
      <c r="U356">
        <v>3.1</v>
      </c>
      <c r="V356" t="s">
        <v>38</v>
      </c>
      <c r="W356">
        <v>9</v>
      </c>
      <c r="X356" s="1" t="s">
        <v>103</v>
      </c>
    </row>
    <row r="357" spans="1:24" x14ac:dyDescent="0.55000000000000004">
      <c r="A357" s="1" t="s">
        <v>441</v>
      </c>
      <c r="B357" s="1" t="s">
        <v>62</v>
      </c>
      <c r="C357">
        <v>59</v>
      </c>
      <c r="D357" s="1" t="s">
        <v>26</v>
      </c>
      <c r="E357" s="1" t="s">
        <v>52</v>
      </c>
      <c r="F357" s="1" t="s">
        <v>44</v>
      </c>
      <c r="G357" s="1" t="s">
        <v>29</v>
      </c>
      <c r="H357" s="1" t="s">
        <v>65</v>
      </c>
      <c r="I357" s="1" t="s">
        <v>31</v>
      </c>
      <c r="J357" s="1" t="s">
        <v>32</v>
      </c>
      <c r="K357" s="1" t="s">
        <v>46</v>
      </c>
      <c r="L357" s="2">
        <v>46154</v>
      </c>
      <c r="M357" s="2">
        <v>46194</v>
      </c>
      <c r="N357">
        <v>1705616</v>
      </c>
      <c r="O357">
        <v>69952</v>
      </c>
      <c r="P357">
        <v>1635664</v>
      </c>
      <c r="Q357" s="1" t="s">
        <v>66</v>
      </c>
      <c r="R357" s="1" t="s">
        <v>109</v>
      </c>
      <c r="S357" s="1" t="s">
        <v>37</v>
      </c>
      <c r="T357" s="1" t="s">
        <v>36</v>
      </c>
      <c r="U357">
        <v>4.2</v>
      </c>
      <c r="V357" t="s">
        <v>38</v>
      </c>
      <c r="W357">
        <v>6</v>
      </c>
      <c r="X357" s="1" t="s">
        <v>68</v>
      </c>
    </row>
    <row r="358" spans="1:24" x14ac:dyDescent="0.55000000000000004">
      <c r="A358" s="1" t="s">
        <v>442</v>
      </c>
      <c r="B358" s="1" t="s">
        <v>51</v>
      </c>
      <c r="C358">
        <v>50</v>
      </c>
      <c r="D358" s="1" t="s">
        <v>42</v>
      </c>
      <c r="E358" s="1" t="s">
        <v>84</v>
      </c>
      <c r="F358" s="1" t="s">
        <v>85</v>
      </c>
      <c r="G358" s="1" t="s">
        <v>29</v>
      </c>
      <c r="H358" s="1" t="s">
        <v>77</v>
      </c>
      <c r="I358" s="1" t="s">
        <v>31</v>
      </c>
      <c r="J358" s="1" t="s">
        <v>32</v>
      </c>
      <c r="K358" s="1" t="s">
        <v>46</v>
      </c>
      <c r="L358" s="2">
        <v>45872</v>
      </c>
      <c r="M358" s="2">
        <v>45910</v>
      </c>
      <c r="N358">
        <v>1503691</v>
      </c>
      <c r="O358">
        <v>20584</v>
      </c>
      <c r="P358">
        <v>1483107</v>
      </c>
      <c r="Q358" s="1" t="s">
        <v>47</v>
      </c>
      <c r="R358" s="1" t="s">
        <v>48</v>
      </c>
      <c r="S358" s="1" t="s">
        <v>37</v>
      </c>
      <c r="T358" s="1" t="s">
        <v>37</v>
      </c>
      <c r="U358">
        <v>3.1</v>
      </c>
      <c r="V358" t="s">
        <v>38</v>
      </c>
      <c r="W358">
        <v>9</v>
      </c>
      <c r="X358" s="1" t="s">
        <v>103</v>
      </c>
    </row>
    <row r="359" spans="1:24" x14ac:dyDescent="0.55000000000000004">
      <c r="A359" s="1" t="s">
        <v>443</v>
      </c>
      <c r="B359" s="1" t="s">
        <v>70</v>
      </c>
      <c r="C359">
        <v>29</v>
      </c>
      <c r="D359" s="1" t="s">
        <v>42</v>
      </c>
      <c r="E359" s="1" t="s">
        <v>71</v>
      </c>
      <c r="F359" s="1" t="s">
        <v>72</v>
      </c>
      <c r="G359" s="1" t="s">
        <v>29</v>
      </c>
      <c r="H359" s="1" t="s">
        <v>30</v>
      </c>
      <c r="I359" s="1" t="s">
        <v>31</v>
      </c>
      <c r="J359" s="1" t="s">
        <v>54</v>
      </c>
      <c r="K359" s="1" t="s">
        <v>33</v>
      </c>
      <c r="L359" s="2">
        <v>45980</v>
      </c>
      <c r="M359" s="2">
        <v>45993</v>
      </c>
      <c r="N359">
        <v>1877927</v>
      </c>
      <c r="O359">
        <v>43884</v>
      </c>
      <c r="P359">
        <v>1834043</v>
      </c>
      <c r="Q359" s="1" t="s">
        <v>47</v>
      </c>
      <c r="R359" s="1" t="s">
        <v>79</v>
      </c>
      <c r="S359" s="1" t="s">
        <v>36</v>
      </c>
      <c r="T359" s="1" t="s">
        <v>37</v>
      </c>
      <c r="U359">
        <v>4</v>
      </c>
      <c r="V359" t="s">
        <v>56</v>
      </c>
      <c r="W359">
        <v>12</v>
      </c>
      <c r="X359" s="1" t="s">
        <v>49</v>
      </c>
    </row>
    <row r="360" spans="1:24" x14ac:dyDescent="0.55000000000000004">
      <c r="A360" s="1" t="s">
        <v>444</v>
      </c>
      <c r="B360" s="1" t="s">
        <v>41</v>
      </c>
      <c r="C360">
        <v>27</v>
      </c>
      <c r="D360" s="1" t="s">
        <v>26</v>
      </c>
      <c r="E360" s="1" t="s">
        <v>90</v>
      </c>
      <c r="F360" s="1" t="s">
        <v>44</v>
      </c>
      <c r="G360" s="1" t="s">
        <v>29</v>
      </c>
      <c r="H360" s="1" t="s">
        <v>30</v>
      </c>
      <c r="I360" s="1" t="s">
        <v>53</v>
      </c>
      <c r="J360" s="1" t="s">
        <v>54</v>
      </c>
      <c r="K360" s="1" t="s">
        <v>33</v>
      </c>
      <c r="L360" s="2">
        <v>45751</v>
      </c>
      <c r="M360" s="2">
        <v>45766</v>
      </c>
      <c r="N360">
        <v>1417745</v>
      </c>
      <c r="O360">
        <v>27820</v>
      </c>
      <c r="P360">
        <v>1389925</v>
      </c>
      <c r="Q360" s="1" t="s">
        <v>47</v>
      </c>
      <c r="R360" s="1" t="s">
        <v>48</v>
      </c>
      <c r="S360" s="1" t="s">
        <v>37</v>
      </c>
      <c r="T360" s="1" t="s">
        <v>36</v>
      </c>
      <c r="U360">
        <v>4.9000000000000004</v>
      </c>
      <c r="V360" t="s">
        <v>56</v>
      </c>
      <c r="W360">
        <v>4</v>
      </c>
      <c r="X360" s="1" t="s">
        <v>63</v>
      </c>
    </row>
    <row r="361" spans="1:24" x14ac:dyDescent="0.55000000000000004">
      <c r="A361" s="1" t="s">
        <v>445</v>
      </c>
      <c r="B361" s="1" t="s">
        <v>70</v>
      </c>
      <c r="C361">
        <v>56</v>
      </c>
      <c r="D361" s="1" t="s">
        <v>26</v>
      </c>
      <c r="E361" s="1" t="s">
        <v>90</v>
      </c>
      <c r="F361" s="1" t="s">
        <v>44</v>
      </c>
      <c r="G361" s="1" t="s">
        <v>29</v>
      </c>
      <c r="H361" s="1" t="s">
        <v>65</v>
      </c>
      <c r="I361" s="1" t="s">
        <v>45</v>
      </c>
      <c r="J361" s="1" t="s">
        <v>54</v>
      </c>
      <c r="K361" s="1" t="s">
        <v>33</v>
      </c>
      <c r="L361" s="2">
        <v>46101</v>
      </c>
      <c r="M361" s="2">
        <v>46110</v>
      </c>
      <c r="N361">
        <v>1392029</v>
      </c>
      <c r="O361">
        <v>34040</v>
      </c>
      <c r="P361">
        <v>1357989</v>
      </c>
      <c r="Q361" s="1" t="s">
        <v>66</v>
      </c>
      <c r="R361" s="1" t="s">
        <v>35</v>
      </c>
      <c r="S361" s="1" t="s">
        <v>37</v>
      </c>
      <c r="T361" s="1" t="s">
        <v>37</v>
      </c>
      <c r="U361">
        <v>4.8</v>
      </c>
      <c r="V361" t="s">
        <v>91</v>
      </c>
      <c r="W361">
        <v>3</v>
      </c>
      <c r="X361" s="1" t="s">
        <v>96</v>
      </c>
    </row>
    <row r="362" spans="1:24" x14ac:dyDescent="0.55000000000000004">
      <c r="A362" s="1" t="s">
        <v>446</v>
      </c>
      <c r="B362" s="1" t="s">
        <v>62</v>
      </c>
      <c r="C362">
        <v>27</v>
      </c>
      <c r="D362" s="1" t="s">
        <v>42</v>
      </c>
      <c r="E362" s="1" t="s">
        <v>52</v>
      </c>
      <c r="F362" s="1" t="s">
        <v>44</v>
      </c>
      <c r="G362" s="1" t="s">
        <v>29</v>
      </c>
      <c r="H362" s="1" t="s">
        <v>30</v>
      </c>
      <c r="I362" s="1" t="s">
        <v>31</v>
      </c>
      <c r="J362" s="1" t="s">
        <v>32</v>
      </c>
      <c r="K362" s="1" t="s">
        <v>33</v>
      </c>
      <c r="L362" s="2">
        <v>45964</v>
      </c>
      <c r="M362" s="2">
        <v>45984</v>
      </c>
      <c r="N362">
        <v>1380229</v>
      </c>
      <c r="O362">
        <v>78947</v>
      </c>
      <c r="P362">
        <v>1301282</v>
      </c>
      <c r="Q362" s="1" t="s">
        <v>55</v>
      </c>
      <c r="R362" s="1" t="s">
        <v>67</v>
      </c>
      <c r="S362" s="1" t="s">
        <v>37</v>
      </c>
      <c r="T362" s="1" t="s">
        <v>37</v>
      </c>
      <c r="U362">
        <v>3.4</v>
      </c>
      <c r="V362" t="s">
        <v>56</v>
      </c>
      <c r="W362">
        <v>11</v>
      </c>
      <c r="X362" s="1" t="s">
        <v>60</v>
      </c>
    </row>
    <row r="363" spans="1:24" x14ac:dyDescent="0.55000000000000004">
      <c r="A363" s="1" t="s">
        <v>447</v>
      </c>
      <c r="B363" s="1" t="s">
        <v>25</v>
      </c>
      <c r="C363">
        <v>46</v>
      </c>
      <c r="D363" s="1" t="s">
        <v>42</v>
      </c>
      <c r="E363" s="1" t="s">
        <v>90</v>
      </c>
      <c r="F363" s="1" t="s">
        <v>44</v>
      </c>
      <c r="G363" s="1" t="s">
        <v>29</v>
      </c>
      <c r="H363" s="1" t="s">
        <v>30</v>
      </c>
      <c r="I363" s="1" t="s">
        <v>53</v>
      </c>
      <c r="J363" s="1" t="s">
        <v>54</v>
      </c>
      <c r="K363" s="1" t="s">
        <v>33</v>
      </c>
      <c r="L363" s="2">
        <v>45977</v>
      </c>
      <c r="M363" s="2">
        <v>46022</v>
      </c>
      <c r="N363">
        <v>1748261</v>
      </c>
      <c r="O363">
        <v>35183</v>
      </c>
      <c r="P363">
        <v>1713078</v>
      </c>
      <c r="Q363" s="1" t="s">
        <v>78</v>
      </c>
      <c r="R363" s="1" t="s">
        <v>48</v>
      </c>
      <c r="S363" s="1" t="s">
        <v>36</v>
      </c>
      <c r="T363" s="1" t="s">
        <v>37</v>
      </c>
      <c r="U363">
        <v>3.1</v>
      </c>
      <c r="V363" t="s">
        <v>38</v>
      </c>
      <c r="W363">
        <v>12</v>
      </c>
      <c r="X363" s="1" t="s">
        <v>49</v>
      </c>
    </row>
    <row r="364" spans="1:24" x14ac:dyDescent="0.55000000000000004">
      <c r="A364" s="1" t="s">
        <v>448</v>
      </c>
      <c r="B364" s="1" t="s">
        <v>51</v>
      </c>
      <c r="C364">
        <v>40</v>
      </c>
      <c r="D364" s="1" t="s">
        <v>42</v>
      </c>
      <c r="E364" s="1" t="s">
        <v>71</v>
      </c>
      <c r="F364" s="1" t="s">
        <v>72</v>
      </c>
      <c r="G364" s="1" t="s">
        <v>29</v>
      </c>
      <c r="H364" s="1" t="s">
        <v>30</v>
      </c>
      <c r="I364" s="1" t="s">
        <v>45</v>
      </c>
      <c r="J364" s="1" t="s">
        <v>32</v>
      </c>
      <c r="K364" s="1" t="s">
        <v>33</v>
      </c>
      <c r="L364" s="2">
        <v>46115</v>
      </c>
      <c r="M364" s="2">
        <v>46158</v>
      </c>
      <c r="N364">
        <v>1428537</v>
      </c>
      <c r="O364">
        <v>99428</v>
      </c>
      <c r="P364">
        <v>1329109</v>
      </c>
      <c r="Q364" s="1" t="s">
        <v>66</v>
      </c>
      <c r="R364" s="1" t="s">
        <v>79</v>
      </c>
      <c r="S364" s="1" t="s">
        <v>37</v>
      </c>
      <c r="T364" s="1" t="s">
        <v>36</v>
      </c>
      <c r="U364">
        <v>4.0999999999999996</v>
      </c>
      <c r="V364" t="s">
        <v>38</v>
      </c>
      <c r="W364">
        <v>5</v>
      </c>
      <c r="X364" s="1" t="s">
        <v>86</v>
      </c>
    </row>
    <row r="365" spans="1:24" x14ac:dyDescent="0.55000000000000004">
      <c r="A365" s="1" t="s">
        <v>449</v>
      </c>
      <c r="B365" s="1" t="s">
        <v>62</v>
      </c>
      <c r="C365">
        <v>23</v>
      </c>
      <c r="D365" s="1" t="s">
        <v>26</v>
      </c>
      <c r="E365" s="1" t="s">
        <v>84</v>
      </c>
      <c r="F365" s="1" t="s">
        <v>85</v>
      </c>
      <c r="G365" s="1" t="s">
        <v>29</v>
      </c>
      <c r="H365" s="1" t="s">
        <v>30</v>
      </c>
      <c r="I365" s="1" t="s">
        <v>53</v>
      </c>
      <c r="J365" s="1" t="s">
        <v>32</v>
      </c>
      <c r="K365" s="1" t="s">
        <v>46</v>
      </c>
      <c r="L365" s="2">
        <v>45807</v>
      </c>
      <c r="M365" s="2">
        <v>45816</v>
      </c>
      <c r="N365">
        <v>1738725</v>
      </c>
      <c r="O365">
        <v>57600</v>
      </c>
      <c r="P365">
        <v>1681125</v>
      </c>
      <c r="Q365" s="1" t="s">
        <v>55</v>
      </c>
      <c r="R365" s="1" t="s">
        <v>109</v>
      </c>
      <c r="S365" s="1" t="s">
        <v>37</v>
      </c>
      <c r="T365" s="1" t="s">
        <v>37</v>
      </c>
      <c r="U365">
        <v>3.9</v>
      </c>
      <c r="V365" t="s">
        <v>91</v>
      </c>
      <c r="W365">
        <v>6</v>
      </c>
      <c r="X365" s="1" t="s">
        <v>68</v>
      </c>
    </row>
    <row r="366" spans="1:24" x14ac:dyDescent="0.55000000000000004">
      <c r="A366" s="1" t="s">
        <v>450</v>
      </c>
      <c r="B366" s="1" t="s">
        <v>41</v>
      </c>
      <c r="C366">
        <v>55</v>
      </c>
      <c r="D366" s="1" t="s">
        <v>26</v>
      </c>
      <c r="E366" s="1" t="s">
        <v>43</v>
      </c>
      <c r="F366" s="1" t="s">
        <v>44</v>
      </c>
      <c r="G366" s="1" t="s">
        <v>29</v>
      </c>
      <c r="H366" s="1" t="s">
        <v>30</v>
      </c>
      <c r="I366" s="1" t="s">
        <v>45</v>
      </c>
      <c r="J366" s="1" t="s">
        <v>54</v>
      </c>
      <c r="K366" s="1" t="s">
        <v>33</v>
      </c>
      <c r="L366" s="2">
        <v>46071</v>
      </c>
      <c r="M366" s="2">
        <v>46084</v>
      </c>
      <c r="N366">
        <v>1831481</v>
      </c>
      <c r="O366">
        <v>92771</v>
      </c>
      <c r="P366">
        <v>1738710</v>
      </c>
      <c r="Q366" s="1" t="s">
        <v>66</v>
      </c>
      <c r="R366" s="1" t="s">
        <v>109</v>
      </c>
      <c r="S366" s="1" t="s">
        <v>36</v>
      </c>
      <c r="T366" s="1" t="s">
        <v>36</v>
      </c>
      <c r="U366">
        <v>4.7</v>
      </c>
      <c r="V366" t="s">
        <v>56</v>
      </c>
      <c r="W366">
        <v>3</v>
      </c>
      <c r="X366" s="1" t="s">
        <v>96</v>
      </c>
    </row>
    <row r="367" spans="1:24" x14ac:dyDescent="0.55000000000000004">
      <c r="A367" s="1" t="s">
        <v>451</v>
      </c>
      <c r="B367" s="1" t="s">
        <v>51</v>
      </c>
      <c r="C367">
        <v>34</v>
      </c>
      <c r="D367" s="1" t="s">
        <v>26</v>
      </c>
      <c r="E367" s="1" t="s">
        <v>52</v>
      </c>
      <c r="F367" s="1" t="s">
        <v>44</v>
      </c>
      <c r="G367" s="1" t="s">
        <v>29</v>
      </c>
      <c r="H367" s="1" t="s">
        <v>65</v>
      </c>
      <c r="I367" s="1" t="s">
        <v>74</v>
      </c>
      <c r="J367" s="1" t="s">
        <v>54</v>
      </c>
      <c r="K367" s="1" t="s">
        <v>46</v>
      </c>
      <c r="L367" s="2">
        <v>45981</v>
      </c>
      <c r="M367" s="2">
        <v>46006</v>
      </c>
      <c r="N367">
        <v>1436633</v>
      </c>
      <c r="O367">
        <v>20353</v>
      </c>
      <c r="P367">
        <v>1416280</v>
      </c>
      <c r="Q367" s="1" t="s">
        <v>47</v>
      </c>
      <c r="R367" s="1" t="s">
        <v>79</v>
      </c>
      <c r="S367" s="1" t="s">
        <v>37</v>
      </c>
      <c r="T367" s="1" t="s">
        <v>37</v>
      </c>
      <c r="U367">
        <v>3.6</v>
      </c>
      <c r="V367" t="s">
        <v>38</v>
      </c>
      <c r="W367">
        <v>12</v>
      </c>
      <c r="X367" s="1" t="s">
        <v>49</v>
      </c>
    </row>
    <row r="368" spans="1:24" x14ac:dyDescent="0.55000000000000004">
      <c r="A368" s="1" t="s">
        <v>452</v>
      </c>
      <c r="B368" s="1" t="s">
        <v>98</v>
      </c>
      <c r="C368">
        <v>49</v>
      </c>
      <c r="D368" s="1" t="s">
        <v>26</v>
      </c>
      <c r="E368" s="1" t="s">
        <v>43</v>
      </c>
      <c r="F368" s="1" t="s">
        <v>44</v>
      </c>
      <c r="G368" s="1" t="s">
        <v>29</v>
      </c>
      <c r="H368" s="1" t="s">
        <v>30</v>
      </c>
      <c r="I368" s="1" t="s">
        <v>59</v>
      </c>
      <c r="J368" s="1" t="s">
        <v>32</v>
      </c>
      <c r="K368" s="1" t="s">
        <v>46</v>
      </c>
      <c r="L368" s="2">
        <v>46145</v>
      </c>
      <c r="M368" s="2">
        <v>46169</v>
      </c>
      <c r="N368">
        <v>1454086</v>
      </c>
      <c r="O368">
        <v>51589</v>
      </c>
      <c r="P368">
        <v>1402497</v>
      </c>
      <c r="Q368" s="1" t="s">
        <v>55</v>
      </c>
      <c r="R368" s="1" t="s">
        <v>67</v>
      </c>
      <c r="S368" s="1" t="s">
        <v>37</v>
      </c>
      <c r="T368" s="1" t="s">
        <v>36</v>
      </c>
      <c r="U368">
        <v>3.9</v>
      </c>
      <c r="V368" t="s">
        <v>38</v>
      </c>
      <c r="W368">
        <v>5</v>
      </c>
      <c r="X368" s="1" t="s">
        <v>86</v>
      </c>
    </row>
    <row r="369" spans="1:24" x14ac:dyDescent="0.55000000000000004">
      <c r="A369" s="1" t="s">
        <v>453</v>
      </c>
      <c r="B369" s="1" t="s">
        <v>51</v>
      </c>
      <c r="C369">
        <v>36</v>
      </c>
      <c r="D369" s="1" t="s">
        <v>26</v>
      </c>
      <c r="E369" s="1" t="s">
        <v>84</v>
      </c>
      <c r="F369" s="1" t="s">
        <v>85</v>
      </c>
      <c r="G369" s="1" t="s">
        <v>29</v>
      </c>
      <c r="H369" s="1" t="s">
        <v>30</v>
      </c>
      <c r="I369" s="1" t="s">
        <v>53</v>
      </c>
      <c r="J369" s="1" t="s">
        <v>32</v>
      </c>
      <c r="K369" s="1" t="s">
        <v>46</v>
      </c>
      <c r="L369" s="2">
        <v>45999</v>
      </c>
      <c r="M369" s="2">
        <v>46043</v>
      </c>
      <c r="N369">
        <v>1675205</v>
      </c>
      <c r="O369">
        <v>31058</v>
      </c>
      <c r="P369">
        <v>1644147</v>
      </c>
      <c r="Q369" s="1" t="s">
        <v>47</v>
      </c>
      <c r="R369" s="1" t="s">
        <v>67</v>
      </c>
      <c r="S369" s="1" t="s">
        <v>36</v>
      </c>
      <c r="T369" s="1" t="s">
        <v>37</v>
      </c>
      <c r="U369">
        <v>4.3</v>
      </c>
      <c r="V369" t="s">
        <v>38</v>
      </c>
      <c r="W369">
        <v>1</v>
      </c>
      <c r="X369" s="1" t="s">
        <v>88</v>
      </c>
    </row>
    <row r="370" spans="1:24" x14ac:dyDescent="0.55000000000000004">
      <c r="A370" s="1" t="s">
        <v>454</v>
      </c>
      <c r="B370" s="1" t="s">
        <v>98</v>
      </c>
      <c r="C370">
        <v>35</v>
      </c>
      <c r="D370" s="1" t="s">
        <v>42</v>
      </c>
      <c r="E370" s="1" t="s">
        <v>84</v>
      </c>
      <c r="F370" s="1" t="s">
        <v>85</v>
      </c>
      <c r="G370" s="1" t="s">
        <v>29</v>
      </c>
      <c r="H370" s="1" t="s">
        <v>65</v>
      </c>
      <c r="I370" s="1" t="s">
        <v>59</v>
      </c>
      <c r="J370" s="1" t="s">
        <v>54</v>
      </c>
      <c r="K370" s="1" t="s">
        <v>33</v>
      </c>
      <c r="L370" s="2">
        <v>45750</v>
      </c>
      <c r="M370" s="2">
        <v>45783</v>
      </c>
      <c r="N370">
        <v>1374699</v>
      </c>
      <c r="O370">
        <v>34625</v>
      </c>
      <c r="P370">
        <v>1340074</v>
      </c>
      <c r="Q370" s="1" t="s">
        <v>78</v>
      </c>
      <c r="R370" s="1" t="s">
        <v>48</v>
      </c>
      <c r="S370" s="1" t="s">
        <v>37</v>
      </c>
      <c r="T370" s="1" t="s">
        <v>37</v>
      </c>
      <c r="U370">
        <v>4.9000000000000004</v>
      </c>
      <c r="V370" t="s">
        <v>38</v>
      </c>
      <c r="W370">
        <v>5</v>
      </c>
      <c r="X370" s="1" t="s">
        <v>86</v>
      </c>
    </row>
    <row r="371" spans="1:24" x14ac:dyDescent="0.55000000000000004">
      <c r="A371" s="1" t="s">
        <v>455</v>
      </c>
      <c r="B371" s="1" t="s">
        <v>81</v>
      </c>
      <c r="C371">
        <v>25</v>
      </c>
      <c r="D371" s="1" t="s">
        <v>26</v>
      </c>
      <c r="E371" s="1" t="s">
        <v>84</v>
      </c>
      <c r="F371" s="1" t="s">
        <v>85</v>
      </c>
      <c r="G371" s="1" t="s">
        <v>29</v>
      </c>
      <c r="H371" s="1" t="s">
        <v>30</v>
      </c>
      <c r="I371" s="1" t="s">
        <v>31</v>
      </c>
      <c r="J371" s="1" t="s">
        <v>54</v>
      </c>
      <c r="K371" s="1" t="s">
        <v>33</v>
      </c>
      <c r="L371" s="2">
        <v>45904</v>
      </c>
      <c r="M371" s="2">
        <v>45918</v>
      </c>
      <c r="N371">
        <v>1305760</v>
      </c>
      <c r="O371">
        <v>81911</v>
      </c>
      <c r="P371">
        <v>1223849</v>
      </c>
      <c r="Q371" s="1" t="s">
        <v>55</v>
      </c>
      <c r="R371" s="1" t="s">
        <v>67</v>
      </c>
      <c r="S371" s="1" t="s">
        <v>37</v>
      </c>
      <c r="T371" s="1" t="s">
        <v>36</v>
      </c>
      <c r="U371">
        <v>4.7</v>
      </c>
      <c r="V371" t="s">
        <v>56</v>
      </c>
      <c r="W371">
        <v>9</v>
      </c>
      <c r="X371" s="1" t="s">
        <v>103</v>
      </c>
    </row>
    <row r="372" spans="1:24" x14ac:dyDescent="0.55000000000000004">
      <c r="A372" s="1" t="s">
        <v>456</v>
      </c>
      <c r="B372" s="1" t="s">
        <v>51</v>
      </c>
      <c r="C372">
        <v>25</v>
      </c>
      <c r="D372" s="1" t="s">
        <v>42</v>
      </c>
      <c r="E372" s="1" t="s">
        <v>84</v>
      </c>
      <c r="F372" s="1" t="s">
        <v>85</v>
      </c>
      <c r="G372" s="1" t="s">
        <v>29</v>
      </c>
      <c r="H372" s="1" t="s">
        <v>65</v>
      </c>
      <c r="I372" s="1" t="s">
        <v>59</v>
      </c>
      <c r="J372" s="1" t="s">
        <v>54</v>
      </c>
      <c r="K372" s="1" t="s">
        <v>33</v>
      </c>
      <c r="L372" s="2">
        <v>46160</v>
      </c>
      <c r="M372" s="2">
        <v>46169</v>
      </c>
      <c r="N372">
        <v>1663032</v>
      </c>
      <c r="O372">
        <v>15068</v>
      </c>
      <c r="P372">
        <v>1647964</v>
      </c>
      <c r="Q372" s="1" t="s">
        <v>34</v>
      </c>
      <c r="R372" s="1" t="s">
        <v>109</v>
      </c>
      <c r="S372" s="1" t="s">
        <v>37</v>
      </c>
      <c r="T372" s="1" t="s">
        <v>37</v>
      </c>
      <c r="U372">
        <v>3.2</v>
      </c>
      <c r="V372" t="s">
        <v>91</v>
      </c>
      <c r="W372">
        <v>5</v>
      </c>
      <c r="X372" s="1" t="s">
        <v>86</v>
      </c>
    </row>
    <row r="373" spans="1:24" x14ac:dyDescent="0.55000000000000004">
      <c r="A373" s="1" t="s">
        <v>457</v>
      </c>
      <c r="B373" s="1" t="s">
        <v>70</v>
      </c>
      <c r="C373">
        <v>40</v>
      </c>
      <c r="D373" s="1" t="s">
        <v>26</v>
      </c>
      <c r="E373" s="1" t="s">
        <v>84</v>
      </c>
      <c r="F373" s="1" t="s">
        <v>85</v>
      </c>
      <c r="G373" s="1" t="s">
        <v>29</v>
      </c>
      <c r="H373" s="1" t="s">
        <v>30</v>
      </c>
      <c r="I373" s="1" t="s">
        <v>74</v>
      </c>
      <c r="J373" s="1" t="s">
        <v>54</v>
      </c>
      <c r="K373" s="1" t="s">
        <v>46</v>
      </c>
      <c r="L373" s="2">
        <v>46105</v>
      </c>
      <c r="M373" s="2">
        <v>46146</v>
      </c>
      <c r="N373">
        <v>1464667</v>
      </c>
      <c r="O373">
        <v>69871</v>
      </c>
      <c r="P373">
        <v>1394796</v>
      </c>
      <c r="Q373" s="1" t="s">
        <v>34</v>
      </c>
      <c r="R373" s="1" t="s">
        <v>35</v>
      </c>
      <c r="S373" s="1" t="s">
        <v>36</v>
      </c>
      <c r="T373" s="1" t="s">
        <v>37</v>
      </c>
      <c r="U373">
        <v>3.4</v>
      </c>
      <c r="V373" t="s">
        <v>38</v>
      </c>
      <c r="W373">
        <v>5</v>
      </c>
      <c r="X373" s="1" t="s">
        <v>86</v>
      </c>
    </row>
    <row r="374" spans="1:24" x14ac:dyDescent="0.55000000000000004">
      <c r="A374" s="1" t="s">
        <v>458</v>
      </c>
      <c r="B374" s="1" t="s">
        <v>83</v>
      </c>
      <c r="C374">
        <v>40</v>
      </c>
      <c r="D374" s="1" t="s">
        <v>26</v>
      </c>
      <c r="E374" s="1" t="s">
        <v>43</v>
      </c>
      <c r="F374" s="1" t="s">
        <v>44</v>
      </c>
      <c r="G374" s="1" t="s">
        <v>29</v>
      </c>
      <c r="H374" s="1" t="s">
        <v>30</v>
      </c>
      <c r="I374" s="1" t="s">
        <v>31</v>
      </c>
      <c r="J374" s="1" t="s">
        <v>54</v>
      </c>
      <c r="K374" s="1" t="s">
        <v>33</v>
      </c>
      <c r="L374" s="2">
        <v>45711</v>
      </c>
      <c r="M374" s="2">
        <v>45723</v>
      </c>
      <c r="N374">
        <v>1560144</v>
      </c>
      <c r="O374">
        <v>43873</v>
      </c>
      <c r="P374">
        <v>1516271</v>
      </c>
      <c r="Q374" s="1" t="s">
        <v>47</v>
      </c>
      <c r="R374" s="1" t="s">
        <v>67</v>
      </c>
      <c r="S374" s="1" t="s">
        <v>37</v>
      </c>
      <c r="T374" s="1" t="s">
        <v>37</v>
      </c>
      <c r="U374">
        <v>4.5</v>
      </c>
      <c r="V374" t="s">
        <v>56</v>
      </c>
      <c r="W374">
        <v>3</v>
      </c>
      <c r="X374" s="1" t="s">
        <v>96</v>
      </c>
    </row>
    <row r="375" spans="1:24" x14ac:dyDescent="0.55000000000000004">
      <c r="A375" s="1" t="s">
        <v>459</v>
      </c>
      <c r="B375" s="1" t="s">
        <v>83</v>
      </c>
      <c r="C375">
        <v>59</v>
      </c>
      <c r="D375" s="1" t="s">
        <v>26</v>
      </c>
      <c r="E375" s="1" t="s">
        <v>84</v>
      </c>
      <c r="F375" s="1" t="s">
        <v>85</v>
      </c>
      <c r="G375" s="1" t="s">
        <v>29</v>
      </c>
      <c r="H375" s="1" t="s">
        <v>65</v>
      </c>
      <c r="I375" s="1" t="s">
        <v>59</v>
      </c>
      <c r="J375" s="1" t="s">
        <v>32</v>
      </c>
      <c r="K375" s="1" t="s">
        <v>46</v>
      </c>
      <c r="L375" s="2">
        <v>46129</v>
      </c>
      <c r="M375" s="2">
        <v>46163</v>
      </c>
      <c r="N375">
        <v>1588138</v>
      </c>
      <c r="O375">
        <v>99479</v>
      </c>
      <c r="P375">
        <v>1488659</v>
      </c>
      <c r="Q375" s="1" t="s">
        <v>34</v>
      </c>
      <c r="R375" s="1" t="s">
        <v>109</v>
      </c>
      <c r="S375" s="1" t="s">
        <v>36</v>
      </c>
      <c r="T375" s="1" t="s">
        <v>36</v>
      </c>
      <c r="U375">
        <v>3.4</v>
      </c>
      <c r="V375" t="s">
        <v>38</v>
      </c>
      <c r="W375">
        <v>5</v>
      </c>
      <c r="X375" s="1" t="s">
        <v>86</v>
      </c>
    </row>
    <row r="376" spans="1:24" x14ac:dyDescent="0.55000000000000004">
      <c r="A376" s="1" t="s">
        <v>460</v>
      </c>
      <c r="B376" s="1" t="s">
        <v>62</v>
      </c>
      <c r="C376">
        <v>31</v>
      </c>
      <c r="D376" s="1" t="s">
        <v>26</v>
      </c>
      <c r="E376" s="1" t="s">
        <v>90</v>
      </c>
      <c r="F376" s="1" t="s">
        <v>44</v>
      </c>
      <c r="G376" s="1" t="s">
        <v>29</v>
      </c>
      <c r="H376" s="1" t="s">
        <v>30</v>
      </c>
      <c r="I376" s="1" t="s">
        <v>53</v>
      </c>
      <c r="J376" s="1" t="s">
        <v>32</v>
      </c>
      <c r="K376" s="1" t="s">
        <v>33</v>
      </c>
      <c r="L376" s="2">
        <v>45658</v>
      </c>
      <c r="M376" s="2">
        <v>45695</v>
      </c>
      <c r="N376">
        <v>1789786</v>
      </c>
      <c r="O376">
        <v>92159</v>
      </c>
      <c r="P376">
        <v>1697627</v>
      </c>
      <c r="Q376" s="1" t="s">
        <v>66</v>
      </c>
      <c r="R376" s="1" t="s">
        <v>79</v>
      </c>
      <c r="S376" s="1" t="s">
        <v>36</v>
      </c>
      <c r="T376" s="1" t="s">
        <v>37</v>
      </c>
      <c r="U376">
        <v>4.5</v>
      </c>
      <c r="V376" t="s">
        <v>38</v>
      </c>
      <c r="W376">
        <v>2</v>
      </c>
      <c r="X376" s="1" t="s">
        <v>107</v>
      </c>
    </row>
    <row r="377" spans="1:24" x14ac:dyDescent="0.55000000000000004">
      <c r="A377" s="1" t="s">
        <v>461</v>
      </c>
      <c r="B377" s="1" t="s">
        <v>83</v>
      </c>
      <c r="C377">
        <v>24</v>
      </c>
      <c r="D377" s="1" t="s">
        <v>42</v>
      </c>
      <c r="E377" s="1" t="s">
        <v>27</v>
      </c>
      <c r="F377" s="1" t="s">
        <v>28</v>
      </c>
      <c r="G377" s="1" t="s">
        <v>29</v>
      </c>
      <c r="H377" s="1" t="s">
        <v>65</v>
      </c>
      <c r="I377" s="1" t="s">
        <v>59</v>
      </c>
      <c r="J377" s="1" t="s">
        <v>54</v>
      </c>
      <c r="K377" s="1" t="s">
        <v>33</v>
      </c>
      <c r="L377" s="2">
        <v>45903</v>
      </c>
      <c r="M377" s="2">
        <v>45918</v>
      </c>
      <c r="N377">
        <v>1519641</v>
      </c>
      <c r="O377">
        <v>20303</v>
      </c>
      <c r="P377">
        <v>1499338</v>
      </c>
      <c r="Q377" s="1" t="s">
        <v>66</v>
      </c>
      <c r="R377" s="1" t="s">
        <v>67</v>
      </c>
      <c r="S377" s="1" t="s">
        <v>36</v>
      </c>
      <c r="T377" s="1" t="s">
        <v>37</v>
      </c>
      <c r="U377">
        <v>3.3</v>
      </c>
      <c r="V377" t="s">
        <v>56</v>
      </c>
      <c r="W377">
        <v>9</v>
      </c>
      <c r="X377" s="1" t="s">
        <v>103</v>
      </c>
    </row>
    <row r="378" spans="1:24" x14ac:dyDescent="0.55000000000000004">
      <c r="A378" s="1" t="s">
        <v>462</v>
      </c>
      <c r="B378" s="1" t="s">
        <v>98</v>
      </c>
      <c r="C378">
        <v>23</v>
      </c>
      <c r="D378" s="1" t="s">
        <v>42</v>
      </c>
      <c r="E378" s="1" t="s">
        <v>27</v>
      </c>
      <c r="F378" s="1" t="s">
        <v>28</v>
      </c>
      <c r="G378" s="1" t="s">
        <v>29</v>
      </c>
      <c r="H378" s="1" t="s">
        <v>30</v>
      </c>
      <c r="I378" s="1" t="s">
        <v>31</v>
      </c>
      <c r="J378" s="1" t="s">
        <v>54</v>
      </c>
      <c r="K378" s="1" t="s">
        <v>33</v>
      </c>
      <c r="L378" s="2">
        <v>45782</v>
      </c>
      <c r="M378" s="2">
        <v>45791</v>
      </c>
      <c r="N378">
        <v>1570792</v>
      </c>
      <c r="O378">
        <v>42725</v>
      </c>
      <c r="P378">
        <v>1528067</v>
      </c>
      <c r="Q378" s="1" t="s">
        <v>55</v>
      </c>
      <c r="R378" s="1" t="s">
        <v>109</v>
      </c>
      <c r="S378" s="1" t="s">
        <v>36</v>
      </c>
      <c r="T378" s="1" t="s">
        <v>36</v>
      </c>
      <c r="U378">
        <v>4.0999999999999996</v>
      </c>
      <c r="V378" t="s">
        <v>91</v>
      </c>
      <c r="W378">
        <v>5</v>
      </c>
      <c r="X378" s="1" t="s">
        <v>86</v>
      </c>
    </row>
    <row r="379" spans="1:24" x14ac:dyDescent="0.55000000000000004">
      <c r="A379" s="1" t="s">
        <v>463</v>
      </c>
      <c r="B379" s="1" t="s">
        <v>25</v>
      </c>
      <c r="C379">
        <v>48</v>
      </c>
      <c r="D379" s="1" t="s">
        <v>42</v>
      </c>
      <c r="E379" s="1" t="s">
        <v>52</v>
      </c>
      <c r="F379" s="1" t="s">
        <v>44</v>
      </c>
      <c r="G379" s="1" t="s">
        <v>29</v>
      </c>
      <c r="H379" s="1" t="s">
        <v>65</v>
      </c>
      <c r="I379" s="1" t="s">
        <v>31</v>
      </c>
      <c r="J379" s="1" t="s">
        <v>32</v>
      </c>
      <c r="K379" s="1" t="s">
        <v>33</v>
      </c>
      <c r="L379" s="2">
        <v>46175</v>
      </c>
      <c r="M379" s="2">
        <v>46193</v>
      </c>
      <c r="N379">
        <v>1463362</v>
      </c>
      <c r="O379">
        <v>57759</v>
      </c>
      <c r="P379">
        <v>1405603</v>
      </c>
      <c r="Q379" s="1" t="s">
        <v>78</v>
      </c>
      <c r="R379" s="1" t="s">
        <v>48</v>
      </c>
      <c r="S379" s="1" t="s">
        <v>37</v>
      </c>
      <c r="T379" s="1" t="s">
        <v>37</v>
      </c>
      <c r="U379">
        <v>4.4000000000000004</v>
      </c>
      <c r="V379" t="s">
        <v>56</v>
      </c>
      <c r="W379">
        <v>6</v>
      </c>
      <c r="X379" s="1" t="s">
        <v>68</v>
      </c>
    </row>
    <row r="380" spans="1:24" x14ac:dyDescent="0.55000000000000004">
      <c r="A380" s="1" t="s">
        <v>464</v>
      </c>
      <c r="B380" s="1" t="s">
        <v>25</v>
      </c>
      <c r="C380">
        <v>38</v>
      </c>
      <c r="D380" s="1" t="s">
        <v>42</v>
      </c>
      <c r="E380" s="1" t="s">
        <v>90</v>
      </c>
      <c r="F380" s="1" t="s">
        <v>44</v>
      </c>
      <c r="G380" s="1" t="s">
        <v>29</v>
      </c>
      <c r="H380" s="1" t="s">
        <v>77</v>
      </c>
      <c r="I380" s="1" t="s">
        <v>53</v>
      </c>
      <c r="J380" s="1" t="s">
        <v>32</v>
      </c>
      <c r="K380" s="1" t="s">
        <v>46</v>
      </c>
      <c r="L380" s="2">
        <v>45747</v>
      </c>
      <c r="M380" s="2">
        <v>45766</v>
      </c>
      <c r="N380">
        <v>1458816</v>
      </c>
      <c r="O380">
        <v>45299</v>
      </c>
      <c r="P380">
        <v>1413517</v>
      </c>
      <c r="Q380" s="1" t="s">
        <v>47</v>
      </c>
      <c r="R380" s="1" t="s">
        <v>35</v>
      </c>
      <c r="S380" s="1" t="s">
        <v>36</v>
      </c>
      <c r="T380" s="1" t="s">
        <v>37</v>
      </c>
      <c r="U380">
        <v>4.2</v>
      </c>
      <c r="V380" t="s">
        <v>56</v>
      </c>
      <c r="W380">
        <v>4</v>
      </c>
      <c r="X380" s="1" t="s">
        <v>63</v>
      </c>
    </row>
    <row r="381" spans="1:24" x14ac:dyDescent="0.55000000000000004">
      <c r="A381" s="1" t="s">
        <v>465</v>
      </c>
      <c r="B381" s="1" t="s">
        <v>62</v>
      </c>
      <c r="C381">
        <v>55</v>
      </c>
      <c r="D381" s="1" t="s">
        <v>26</v>
      </c>
      <c r="E381" s="1" t="s">
        <v>43</v>
      </c>
      <c r="F381" s="1" t="s">
        <v>44</v>
      </c>
      <c r="G381" s="1" t="s">
        <v>29</v>
      </c>
      <c r="H381" s="1" t="s">
        <v>77</v>
      </c>
      <c r="I381" s="1" t="s">
        <v>53</v>
      </c>
      <c r="J381" s="1" t="s">
        <v>32</v>
      </c>
      <c r="K381" s="1" t="s">
        <v>46</v>
      </c>
      <c r="L381" s="2">
        <v>46049</v>
      </c>
      <c r="M381" s="2">
        <v>46074</v>
      </c>
      <c r="N381">
        <v>1753973</v>
      </c>
      <c r="O381">
        <v>80230</v>
      </c>
      <c r="P381">
        <v>1673743</v>
      </c>
      <c r="Q381" s="1" t="s">
        <v>78</v>
      </c>
      <c r="R381" s="1" t="s">
        <v>67</v>
      </c>
      <c r="S381" s="1" t="s">
        <v>36</v>
      </c>
      <c r="T381" s="1" t="s">
        <v>37</v>
      </c>
      <c r="U381">
        <v>3.1</v>
      </c>
      <c r="V381" t="s">
        <v>38</v>
      </c>
      <c r="W381">
        <v>2</v>
      </c>
      <c r="X381" s="1" t="s">
        <v>107</v>
      </c>
    </row>
    <row r="382" spans="1:24" x14ac:dyDescent="0.55000000000000004">
      <c r="A382" s="1" t="s">
        <v>466</v>
      </c>
      <c r="B382" s="1" t="s">
        <v>41</v>
      </c>
      <c r="C382">
        <v>42</v>
      </c>
      <c r="D382" s="1" t="s">
        <v>26</v>
      </c>
      <c r="E382" s="1" t="s">
        <v>52</v>
      </c>
      <c r="F382" s="1" t="s">
        <v>44</v>
      </c>
      <c r="G382" s="1" t="s">
        <v>29</v>
      </c>
      <c r="H382" s="1" t="s">
        <v>30</v>
      </c>
      <c r="I382" s="1" t="s">
        <v>53</v>
      </c>
      <c r="J382" s="1" t="s">
        <v>32</v>
      </c>
      <c r="K382" s="1" t="s">
        <v>46</v>
      </c>
      <c r="L382" s="2">
        <v>46053</v>
      </c>
      <c r="M382" s="2">
        <v>46069</v>
      </c>
      <c r="N382">
        <v>1644778</v>
      </c>
      <c r="O382">
        <v>54160</v>
      </c>
      <c r="P382">
        <v>1590618</v>
      </c>
      <c r="Q382" s="1" t="s">
        <v>78</v>
      </c>
      <c r="R382" s="1" t="s">
        <v>79</v>
      </c>
      <c r="S382" s="1" t="s">
        <v>36</v>
      </c>
      <c r="T382" s="1" t="s">
        <v>37</v>
      </c>
      <c r="U382">
        <v>4.2</v>
      </c>
      <c r="V382" t="s">
        <v>56</v>
      </c>
      <c r="W382">
        <v>2</v>
      </c>
      <c r="X382" s="1" t="s">
        <v>107</v>
      </c>
    </row>
    <row r="383" spans="1:24" x14ac:dyDescent="0.55000000000000004">
      <c r="A383" s="1" t="s">
        <v>467</v>
      </c>
      <c r="B383" s="1" t="s">
        <v>62</v>
      </c>
      <c r="C383">
        <v>45</v>
      </c>
      <c r="D383" s="1" t="s">
        <v>26</v>
      </c>
      <c r="E383" s="1" t="s">
        <v>84</v>
      </c>
      <c r="F383" s="1" t="s">
        <v>85</v>
      </c>
      <c r="G383" s="1" t="s">
        <v>29</v>
      </c>
      <c r="H383" s="1" t="s">
        <v>30</v>
      </c>
      <c r="I383" s="1" t="s">
        <v>45</v>
      </c>
      <c r="J383" s="1" t="s">
        <v>54</v>
      </c>
      <c r="K383" s="1" t="s">
        <v>46</v>
      </c>
      <c r="L383" s="2">
        <v>46094</v>
      </c>
      <c r="M383" s="2">
        <v>46104</v>
      </c>
      <c r="N383">
        <v>1717445</v>
      </c>
      <c r="O383">
        <v>50016</v>
      </c>
      <c r="P383">
        <v>1667429</v>
      </c>
      <c r="Q383" s="1" t="s">
        <v>66</v>
      </c>
      <c r="R383" s="1" t="s">
        <v>79</v>
      </c>
      <c r="S383" s="1" t="s">
        <v>36</v>
      </c>
      <c r="T383" s="1" t="s">
        <v>37</v>
      </c>
      <c r="U383">
        <v>3.2</v>
      </c>
      <c r="V383" t="s">
        <v>91</v>
      </c>
      <c r="W383">
        <v>3</v>
      </c>
      <c r="X383" s="1" t="s">
        <v>96</v>
      </c>
    </row>
    <row r="384" spans="1:24" x14ac:dyDescent="0.55000000000000004">
      <c r="A384" s="1" t="s">
        <v>468</v>
      </c>
      <c r="B384" s="1" t="s">
        <v>70</v>
      </c>
      <c r="C384">
        <v>36</v>
      </c>
      <c r="D384" s="1" t="s">
        <v>42</v>
      </c>
      <c r="E384" s="1" t="s">
        <v>84</v>
      </c>
      <c r="F384" s="1" t="s">
        <v>85</v>
      </c>
      <c r="G384" s="1" t="s">
        <v>29</v>
      </c>
      <c r="H384" s="1" t="s">
        <v>30</v>
      </c>
      <c r="I384" s="1" t="s">
        <v>74</v>
      </c>
      <c r="J384" s="1" t="s">
        <v>32</v>
      </c>
      <c r="K384" s="1" t="s">
        <v>33</v>
      </c>
      <c r="L384" s="2">
        <v>45868</v>
      </c>
      <c r="M384" s="2">
        <v>45913</v>
      </c>
      <c r="N384">
        <v>1642237</v>
      </c>
      <c r="O384">
        <v>32773</v>
      </c>
      <c r="P384">
        <v>1609464</v>
      </c>
      <c r="Q384" s="1" t="s">
        <v>78</v>
      </c>
      <c r="R384" s="1" t="s">
        <v>48</v>
      </c>
      <c r="S384" s="1" t="s">
        <v>37</v>
      </c>
      <c r="T384" s="1" t="s">
        <v>37</v>
      </c>
      <c r="U384">
        <v>3.7</v>
      </c>
      <c r="V384" t="s">
        <v>38</v>
      </c>
      <c r="W384">
        <v>9</v>
      </c>
      <c r="X384" s="1" t="s">
        <v>103</v>
      </c>
    </row>
    <row r="385" spans="1:24" x14ac:dyDescent="0.55000000000000004">
      <c r="A385" s="1" t="s">
        <v>469</v>
      </c>
      <c r="B385" s="1" t="s">
        <v>98</v>
      </c>
      <c r="C385">
        <v>22</v>
      </c>
      <c r="D385" s="1" t="s">
        <v>42</v>
      </c>
      <c r="E385" s="1" t="s">
        <v>52</v>
      </c>
      <c r="F385" s="1" t="s">
        <v>44</v>
      </c>
      <c r="G385" s="1" t="s">
        <v>29</v>
      </c>
      <c r="H385" s="1" t="s">
        <v>77</v>
      </c>
      <c r="I385" s="1" t="s">
        <v>31</v>
      </c>
      <c r="J385" s="1" t="s">
        <v>54</v>
      </c>
      <c r="K385" s="1" t="s">
        <v>33</v>
      </c>
      <c r="L385" s="2">
        <v>45759</v>
      </c>
      <c r="M385" s="2">
        <v>45786</v>
      </c>
      <c r="N385">
        <v>1549298</v>
      </c>
      <c r="O385">
        <v>56592</v>
      </c>
      <c r="P385">
        <v>1492706</v>
      </c>
      <c r="Q385" s="1" t="s">
        <v>34</v>
      </c>
      <c r="R385" s="1" t="s">
        <v>109</v>
      </c>
      <c r="S385" s="1" t="s">
        <v>36</v>
      </c>
      <c r="T385" s="1" t="s">
        <v>37</v>
      </c>
      <c r="U385">
        <v>3.2</v>
      </c>
      <c r="V385" t="s">
        <v>38</v>
      </c>
      <c r="W385">
        <v>5</v>
      </c>
      <c r="X385" s="1" t="s">
        <v>86</v>
      </c>
    </row>
    <row r="386" spans="1:24" x14ac:dyDescent="0.55000000000000004">
      <c r="A386" s="1" t="s">
        <v>470</v>
      </c>
      <c r="B386" s="1" t="s">
        <v>93</v>
      </c>
      <c r="C386">
        <v>60</v>
      </c>
      <c r="D386" s="1" t="s">
        <v>42</v>
      </c>
      <c r="E386" s="1" t="s">
        <v>84</v>
      </c>
      <c r="F386" s="1" t="s">
        <v>85</v>
      </c>
      <c r="G386" s="1" t="s">
        <v>29</v>
      </c>
      <c r="H386" s="1" t="s">
        <v>65</v>
      </c>
      <c r="I386" s="1" t="s">
        <v>74</v>
      </c>
      <c r="J386" s="1" t="s">
        <v>54</v>
      </c>
      <c r="K386" s="1" t="s">
        <v>33</v>
      </c>
      <c r="L386" s="2">
        <v>46099</v>
      </c>
      <c r="M386" s="2">
        <v>46139</v>
      </c>
      <c r="N386">
        <v>1673843</v>
      </c>
      <c r="O386">
        <v>76718</v>
      </c>
      <c r="P386">
        <v>1597125</v>
      </c>
      <c r="Q386" s="1" t="s">
        <v>66</v>
      </c>
      <c r="R386" s="1" t="s">
        <v>67</v>
      </c>
      <c r="S386" s="1" t="s">
        <v>37</v>
      </c>
      <c r="T386" s="1" t="s">
        <v>36</v>
      </c>
      <c r="U386">
        <v>3.6</v>
      </c>
      <c r="V386" t="s">
        <v>38</v>
      </c>
      <c r="W386">
        <v>4</v>
      </c>
      <c r="X386" s="1" t="s">
        <v>63</v>
      </c>
    </row>
    <row r="387" spans="1:24" x14ac:dyDescent="0.55000000000000004">
      <c r="A387" s="1" t="s">
        <v>471</v>
      </c>
      <c r="B387" s="1" t="s">
        <v>62</v>
      </c>
      <c r="C387">
        <v>24</v>
      </c>
      <c r="D387" s="1" t="s">
        <v>42</v>
      </c>
      <c r="E387" s="1" t="s">
        <v>27</v>
      </c>
      <c r="F387" s="1" t="s">
        <v>28</v>
      </c>
      <c r="G387" s="1" t="s">
        <v>29</v>
      </c>
      <c r="H387" s="1" t="s">
        <v>30</v>
      </c>
      <c r="I387" s="1" t="s">
        <v>45</v>
      </c>
      <c r="J387" s="1" t="s">
        <v>54</v>
      </c>
      <c r="K387" s="1" t="s">
        <v>33</v>
      </c>
      <c r="L387" s="2">
        <v>45714</v>
      </c>
      <c r="M387" s="2">
        <v>45750</v>
      </c>
      <c r="N387">
        <v>1876167</v>
      </c>
      <c r="O387">
        <v>66911</v>
      </c>
      <c r="P387">
        <v>1809256</v>
      </c>
      <c r="Q387" s="1" t="s">
        <v>47</v>
      </c>
      <c r="R387" s="1" t="s">
        <v>35</v>
      </c>
      <c r="S387" s="1" t="s">
        <v>37</v>
      </c>
      <c r="T387" s="1" t="s">
        <v>37</v>
      </c>
      <c r="U387">
        <v>4.9000000000000004</v>
      </c>
      <c r="V387" t="s">
        <v>38</v>
      </c>
      <c r="W387">
        <v>4</v>
      </c>
      <c r="X387" s="1" t="s">
        <v>63</v>
      </c>
    </row>
    <row r="388" spans="1:24" x14ac:dyDescent="0.55000000000000004">
      <c r="A388" s="1" t="s">
        <v>472</v>
      </c>
      <c r="B388" s="1" t="s">
        <v>25</v>
      </c>
      <c r="C388">
        <v>55</v>
      </c>
      <c r="D388" s="1" t="s">
        <v>42</v>
      </c>
      <c r="E388" s="1" t="s">
        <v>71</v>
      </c>
      <c r="F388" s="1" t="s">
        <v>72</v>
      </c>
      <c r="G388" s="1" t="s">
        <v>29</v>
      </c>
      <c r="H388" s="1" t="s">
        <v>65</v>
      </c>
      <c r="I388" s="1" t="s">
        <v>53</v>
      </c>
      <c r="J388" s="1" t="s">
        <v>54</v>
      </c>
      <c r="K388" s="1" t="s">
        <v>46</v>
      </c>
      <c r="L388" s="2">
        <v>45937</v>
      </c>
      <c r="M388" s="2">
        <v>45957</v>
      </c>
      <c r="N388">
        <v>1824954</v>
      </c>
      <c r="O388">
        <v>29775</v>
      </c>
      <c r="P388">
        <v>1795179</v>
      </c>
      <c r="Q388" s="1" t="s">
        <v>34</v>
      </c>
      <c r="R388" s="1" t="s">
        <v>35</v>
      </c>
      <c r="S388" s="1" t="s">
        <v>36</v>
      </c>
      <c r="T388" s="1" t="s">
        <v>36</v>
      </c>
      <c r="U388">
        <v>4.5</v>
      </c>
      <c r="V388" t="s">
        <v>56</v>
      </c>
      <c r="W388">
        <v>10</v>
      </c>
      <c r="X388" s="1" t="s">
        <v>75</v>
      </c>
    </row>
    <row r="389" spans="1:24" x14ac:dyDescent="0.55000000000000004">
      <c r="A389" s="1" t="s">
        <v>473</v>
      </c>
      <c r="B389" s="1" t="s">
        <v>51</v>
      </c>
      <c r="C389">
        <v>32</v>
      </c>
      <c r="D389" s="1" t="s">
        <v>26</v>
      </c>
      <c r="E389" s="1" t="s">
        <v>71</v>
      </c>
      <c r="F389" s="1" t="s">
        <v>72</v>
      </c>
      <c r="G389" s="1" t="s">
        <v>29</v>
      </c>
      <c r="H389" s="1" t="s">
        <v>65</v>
      </c>
      <c r="I389" s="1" t="s">
        <v>31</v>
      </c>
      <c r="J389" s="1" t="s">
        <v>54</v>
      </c>
      <c r="K389" s="1" t="s">
        <v>33</v>
      </c>
      <c r="L389" s="2">
        <v>45891</v>
      </c>
      <c r="M389" s="2">
        <v>45923</v>
      </c>
      <c r="N389">
        <v>1786730</v>
      </c>
      <c r="O389">
        <v>56201</v>
      </c>
      <c r="P389">
        <v>1730529</v>
      </c>
      <c r="Q389" s="1" t="s">
        <v>47</v>
      </c>
      <c r="R389" s="1" t="s">
        <v>48</v>
      </c>
      <c r="S389" s="1" t="s">
        <v>37</v>
      </c>
      <c r="T389" s="1" t="s">
        <v>37</v>
      </c>
      <c r="U389">
        <v>3.2</v>
      </c>
      <c r="V389" t="s">
        <v>38</v>
      </c>
      <c r="W389">
        <v>9</v>
      </c>
      <c r="X389" s="1" t="s">
        <v>103</v>
      </c>
    </row>
    <row r="390" spans="1:24" x14ac:dyDescent="0.55000000000000004">
      <c r="A390" s="1" t="s">
        <v>474</v>
      </c>
      <c r="B390" s="1" t="s">
        <v>105</v>
      </c>
      <c r="C390">
        <v>55</v>
      </c>
      <c r="D390" s="1" t="s">
        <v>42</v>
      </c>
      <c r="E390" s="1" t="s">
        <v>52</v>
      </c>
      <c r="F390" s="1" t="s">
        <v>44</v>
      </c>
      <c r="G390" s="1" t="s">
        <v>29</v>
      </c>
      <c r="H390" s="1" t="s">
        <v>30</v>
      </c>
      <c r="I390" s="1" t="s">
        <v>53</v>
      </c>
      <c r="J390" s="1" t="s">
        <v>32</v>
      </c>
      <c r="K390" s="1" t="s">
        <v>33</v>
      </c>
      <c r="L390" s="2">
        <v>45819</v>
      </c>
      <c r="M390" s="2">
        <v>45842</v>
      </c>
      <c r="N390">
        <v>1321353</v>
      </c>
      <c r="O390">
        <v>11014</v>
      </c>
      <c r="P390">
        <v>1310339</v>
      </c>
      <c r="Q390" s="1" t="s">
        <v>47</v>
      </c>
      <c r="R390" s="1" t="s">
        <v>109</v>
      </c>
      <c r="S390" s="1" t="s">
        <v>37</v>
      </c>
      <c r="T390" s="1" t="s">
        <v>37</v>
      </c>
      <c r="U390">
        <v>4.8</v>
      </c>
      <c r="V390" t="s">
        <v>38</v>
      </c>
      <c r="W390">
        <v>7</v>
      </c>
      <c r="X390" s="1" t="s">
        <v>39</v>
      </c>
    </row>
    <row r="391" spans="1:24" x14ac:dyDescent="0.55000000000000004">
      <c r="A391" s="1" t="s">
        <v>475</v>
      </c>
      <c r="B391" s="1" t="s">
        <v>25</v>
      </c>
      <c r="C391">
        <v>24</v>
      </c>
      <c r="D391" s="1" t="s">
        <v>42</v>
      </c>
      <c r="E391" s="1" t="s">
        <v>71</v>
      </c>
      <c r="F391" s="1" t="s">
        <v>72</v>
      </c>
      <c r="G391" s="1" t="s">
        <v>29</v>
      </c>
      <c r="H391" s="1" t="s">
        <v>77</v>
      </c>
      <c r="I391" s="1" t="s">
        <v>31</v>
      </c>
      <c r="J391" s="1" t="s">
        <v>54</v>
      </c>
      <c r="K391" s="1" t="s">
        <v>46</v>
      </c>
      <c r="L391" s="2">
        <v>46175</v>
      </c>
      <c r="M391" s="2">
        <v>46218</v>
      </c>
      <c r="N391">
        <v>1441851</v>
      </c>
      <c r="O391">
        <v>71088</v>
      </c>
      <c r="P391">
        <v>1370763</v>
      </c>
      <c r="Q391" s="1" t="s">
        <v>55</v>
      </c>
      <c r="R391" s="1" t="s">
        <v>35</v>
      </c>
      <c r="S391" s="1" t="s">
        <v>37</v>
      </c>
      <c r="T391" s="1" t="s">
        <v>37</v>
      </c>
      <c r="U391">
        <v>3.1</v>
      </c>
      <c r="V391" t="s">
        <v>38</v>
      </c>
      <c r="W391">
        <v>7</v>
      </c>
      <c r="X391" s="1" t="s">
        <v>39</v>
      </c>
    </row>
    <row r="392" spans="1:24" x14ac:dyDescent="0.55000000000000004">
      <c r="A392" s="1" t="s">
        <v>476</v>
      </c>
      <c r="B392" s="1" t="s">
        <v>62</v>
      </c>
      <c r="C392">
        <v>21</v>
      </c>
      <c r="D392" s="1" t="s">
        <v>42</v>
      </c>
      <c r="E392" s="1" t="s">
        <v>71</v>
      </c>
      <c r="F392" s="1" t="s">
        <v>72</v>
      </c>
      <c r="G392" s="1" t="s">
        <v>29</v>
      </c>
      <c r="H392" s="1" t="s">
        <v>30</v>
      </c>
      <c r="I392" s="1" t="s">
        <v>59</v>
      </c>
      <c r="J392" s="1" t="s">
        <v>32</v>
      </c>
      <c r="K392" s="1" t="s">
        <v>33</v>
      </c>
      <c r="L392" s="2">
        <v>45751</v>
      </c>
      <c r="M392" s="2">
        <v>45790</v>
      </c>
      <c r="N392">
        <v>1303874</v>
      </c>
      <c r="O392">
        <v>23727</v>
      </c>
      <c r="P392">
        <v>1280147</v>
      </c>
      <c r="Q392" s="1" t="s">
        <v>47</v>
      </c>
      <c r="R392" s="1" t="s">
        <v>109</v>
      </c>
      <c r="S392" s="1" t="s">
        <v>36</v>
      </c>
      <c r="T392" s="1" t="s">
        <v>36</v>
      </c>
      <c r="U392">
        <v>4.3</v>
      </c>
      <c r="V392" t="s">
        <v>38</v>
      </c>
      <c r="W392">
        <v>5</v>
      </c>
      <c r="X392" s="1" t="s">
        <v>86</v>
      </c>
    </row>
    <row r="393" spans="1:24" x14ac:dyDescent="0.55000000000000004">
      <c r="A393" s="1" t="s">
        <v>477</v>
      </c>
      <c r="B393" s="1" t="s">
        <v>25</v>
      </c>
      <c r="C393">
        <v>49</v>
      </c>
      <c r="D393" s="1" t="s">
        <v>26</v>
      </c>
      <c r="E393" s="1" t="s">
        <v>27</v>
      </c>
      <c r="F393" s="1" t="s">
        <v>28</v>
      </c>
      <c r="G393" s="1" t="s">
        <v>29</v>
      </c>
      <c r="H393" s="1" t="s">
        <v>77</v>
      </c>
      <c r="I393" s="1" t="s">
        <v>53</v>
      </c>
      <c r="J393" s="1" t="s">
        <v>32</v>
      </c>
      <c r="K393" s="1" t="s">
        <v>33</v>
      </c>
      <c r="L393" s="2">
        <v>46198</v>
      </c>
      <c r="M393" s="2">
        <v>46221</v>
      </c>
      <c r="N393">
        <v>1723170</v>
      </c>
      <c r="O393">
        <v>42938</v>
      </c>
      <c r="P393">
        <v>1680232</v>
      </c>
      <c r="Q393" s="1" t="s">
        <v>55</v>
      </c>
      <c r="R393" s="1" t="s">
        <v>35</v>
      </c>
      <c r="S393" s="1" t="s">
        <v>36</v>
      </c>
      <c r="T393" s="1" t="s">
        <v>36</v>
      </c>
      <c r="U393">
        <v>3.3</v>
      </c>
      <c r="V393" t="s">
        <v>38</v>
      </c>
      <c r="W393">
        <v>7</v>
      </c>
      <c r="X393" s="1" t="s">
        <v>39</v>
      </c>
    </row>
    <row r="394" spans="1:24" x14ac:dyDescent="0.55000000000000004">
      <c r="A394" s="1" t="s">
        <v>478</v>
      </c>
      <c r="B394" s="1" t="s">
        <v>98</v>
      </c>
      <c r="C394">
        <v>28</v>
      </c>
      <c r="D394" s="1" t="s">
        <v>42</v>
      </c>
      <c r="E394" s="1" t="s">
        <v>71</v>
      </c>
      <c r="F394" s="1" t="s">
        <v>72</v>
      </c>
      <c r="G394" s="1" t="s">
        <v>29</v>
      </c>
      <c r="H394" s="1" t="s">
        <v>65</v>
      </c>
      <c r="I394" s="1" t="s">
        <v>53</v>
      </c>
      <c r="J394" s="1" t="s">
        <v>32</v>
      </c>
      <c r="K394" s="1" t="s">
        <v>46</v>
      </c>
      <c r="L394" s="2">
        <v>46154</v>
      </c>
      <c r="M394" s="2">
        <v>46182</v>
      </c>
      <c r="N394">
        <v>1392186</v>
      </c>
      <c r="O394">
        <v>14531</v>
      </c>
      <c r="P394">
        <v>1377655</v>
      </c>
      <c r="Q394" s="1" t="s">
        <v>78</v>
      </c>
      <c r="R394" s="1" t="s">
        <v>79</v>
      </c>
      <c r="S394" s="1" t="s">
        <v>36</v>
      </c>
      <c r="T394" s="1" t="s">
        <v>37</v>
      </c>
      <c r="U394">
        <v>3.5</v>
      </c>
      <c r="V394" t="s">
        <v>38</v>
      </c>
      <c r="W394">
        <v>6</v>
      </c>
      <c r="X394" s="1" t="s">
        <v>68</v>
      </c>
    </row>
    <row r="395" spans="1:24" x14ac:dyDescent="0.55000000000000004">
      <c r="A395" s="1" t="s">
        <v>479</v>
      </c>
      <c r="B395" s="1" t="s">
        <v>93</v>
      </c>
      <c r="C395">
        <v>49</v>
      </c>
      <c r="D395" s="1" t="s">
        <v>26</v>
      </c>
      <c r="E395" s="1" t="s">
        <v>27</v>
      </c>
      <c r="F395" s="1" t="s">
        <v>28</v>
      </c>
      <c r="G395" s="1" t="s">
        <v>29</v>
      </c>
      <c r="H395" s="1" t="s">
        <v>65</v>
      </c>
      <c r="I395" s="1" t="s">
        <v>53</v>
      </c>
      <c r="J395" s="1" t="s">
        <v>54</v>
      </c>
      <c r="K395" s="1" t="s">
        <v>33</v>
      </c>
      <c r="L395" s="2">
        <v>46035</v>
      </c>
      <c r="M395" s="2">
        <v>46060</v>
      </c>
      <c r="N395">
        <v>1358845</v>
      </c>
      <c r="O395">
        <v>48030</v>
      </c>
      <c r="P395">
        <v>1310815</v>
      </c>
      <c r="Q395" s="1" t="s">
        <v>55</v>
      </c>
      <c r="R395" s="1" t="s">
        <v>79</v>
      </c>
      <c r="S395" s="1" t="s">
        <v>36</v>
      </c>
      <c r="T395" s="1" t="s">
        <v>36</v>
      </c>
      <c r="U395">
        <v>4</v>
      </c>
      <c r="V395" t="s">
        <v>38</v>
      </c>
      <c r="W395">
        <v>2</v>
      </c>
      <c r="X395" s="1" t="s">
        <v>107</v>
      </c>
    </row>
    <row r="396" spans="1:24" x14ac:dyDescent="0.55000000000000004">
      <c r="A396" s="1" t="s">
        <v>480</v>
      </c>
      <c r="B396" s="1" t="s">
        <v>105</v>
      </c>
      <c r="C396">
        <v>45</v>
      </c>
      <c r="D396" s="1" t="s">
        <v>26</v>
      </c>
      <c r="E396" s="1" t="s">
        <v>84</v>
      </c>
      <c r="F396" s="1" t="s">
        <v>85</v>
      </c>
      <c r="G396" s="1" t="s">
        <v>29</v>
      </c>
      <c r="H396" s="1" t="s">
        <v>65</v>
      </c>
      <c r="I396" s="1" t="s">
        <v>31</v>
      </c>
      <c r="J396" s="1" t="s">
        <v>32</v>
      </c>
      <c r="K396" s="1" t="s">
        <v>33</v>
      </c>
      <c r="L396" s="2">
        <v>46142</v>
      </c>
      <c r="M396" s="2">
        <v>46165</v>
      </c>
      <c r="N396">
        <v>1388548</v>
      </c>
      <c r="O396">
        <v>88124</v>
      </c>
      <c r="P396">
        <v>1300424</v>
      </c>
      <c r="Q396" s="1" t="s">
        <v>47</v>
      </c>
      <c r="R396" s="1" t="s">
        <v>79</v>
      </c>
      <c r="S396" s="1" t="s">
        <v>37</v>
      </c>
      <c r="T396" s="1" t="s">
        <v>36</v>
      </c>
      <c r="U396">
        <v>4.3</v>
      </c>
      <c r="V396" t="s">
        <v>38</v>
      </c>
      <c r="W396">
        <v>5</v>
      </c>
      <c r="X396" s="1" t="s">
        <v>86</v>
      </c>
    </row>
    <row r="397" spans="1:24" x14ac:dyDescent="0.55000000000000004">
      <c r="A397" s="1" t="s">
        <v>481</v>
      </c>
      <c r="B397" s="1" t="s">
        <v>83</v>
      </c>
      <c r="C397">
        <v>36</v>
      </c>
      <c r="D397" s="1" t="s">
        <v>42</v>
      </c>
      <c r="E397" s="1" t="s">
        <v>43</v>
      </c>
      <c r="F397" s="1" t="s">
        <v>44</v>
      </c>
      <c r="G397" s="1" t="s">
        <v>29</v>
      </c>
      <c r="H397" s="1" t="s">
        <v>65</v>
      </c>
      <c r="I397" s="1" t="s">
        <v>45</v>
      </c>
      <c r="J397" s="1" t="s">
        <v>32</v>
      </c>
      <c r="K397" s="1" t="s">
        <v>46</v>
      </c>
      <c r="L397" s="2">
        <v>45727</v>
      </c>
      <c r="M397" s="2">
        <v>45736</v>
      </c>
      <c r="N397">
        <v>1338976</v>
      </c>
      <c r="O397">
        <v>51468</v>
      </c>
      <c r="P397">
        <v>1287508</v>
      </c>
      <c r="Q397" s="1" t="s">
        <v>47</v>
      </c>
      <c r="R397" s="1" t="s">
        <v>35</v>
      </c>
      <c r="S397" s="1" t="s">
        <v>36</v>
      </c>
      <c r="T397" s="1" t="s">
        <v>36</v>
      </c>
      <c r="U397">
        <v>3.1</v>
      </c>
      <c r="V397" t="s">
        <v>91</v>
      </c>
      <c r="W397">
        <v>3</v>
      </c>
      <c r="X397" s="1" t="s">
        <v>96</v>
      </c>
    </row>
    <row r="398" spans="1:24" x14ac:dyDescent="0.55000000000000004">
      <c r="A398" s="1" t="s">
        <v>482</v>
      </c>
      <c r="B398" s="1" t="s">
        <v>81</v>
      </c>
      <c r="C398">
        <v>50</v>
      </c>
      <c r="D398" s="1" t="s">
        <v>26</v>
      </c>
      <c r="E398" s="1" t="s">
        <v>27</v>
      </c>
      <c r="F398" s="1" t="s">
        <v>28</v>
      </c>
      <c r="G398" s="1" t="s">
        <v>29</v>
      </c>
      <c r="H398" s="1" t="s">
        <v>30</v>
      </c>
      <c r="I398" s="1" t="s">
        <v>45</v>
      </c>
      <c r="J398" s="1" t="s">
        <v>54</v>
      </c>
      <c r="K398" s="1" t="s">
        <v>46</v>
      </c>
      <c r="L398" s="2">
        <v>46120</v>
      </c>
      <c r="M398" s="2">
        <v>46153</v>
      </c>
      <c r="N398">
        <v>1791833</v>
      </c>
      <c r="O398">
        <v>86747</v>
      </c>
      <c r="P398">
        <v>1705086</v>
      </c>
      <c r="Q398" s="1" t="s">
        <v>47</v>
      </c>
      <c r="R398" s="1" t="s">
        <v>35</v>
      </c>
      <c r="S398" s="1" t="s">
        <v>37</v>
      </c>
      <c r="T398" s="1" t="s">
        <v>37</v>
      </c>
      <c r="U398">
        <v>3.5</v>
      </c>
      <c r="V398" t="s">
        <v>38</v>
      </c>
      <c r="W398">
        <v>5</v>
      </c>
      <c r="X398" s="1" t="s">
        <v>86</v>
      </c>
    </row>
    <row r="399" spans="1:24" x14ac:dyDescent="0.55000000000000004">
      <c r="A399" s="1" t="s">
        <v>483</v>
      </c>
      <c r="B399" s="1" t="s">
        <v>51</v>
      </c>
      <c r="C399">
        <v>27</v>
      </c>
      <c r="D399" s="1" t="s">
        <v>42</v>
      </c>
      <c r="E399" s="1" t="s">
        <v>71</v>
      </c>
      <c r="F399" s="1" t="s">
        <v>72</v>
      </c>
      <c r="G399" s="1" t="s">
        <v>29</v>
      </c>
      <c r="H399" s="1" t="s">
        <v>30</v>
      </c>
      <c r="I399" s="1" t="s">
        <v>74</v>
      </c>
      <c r="J399" s="1" t="s">
        <v>32</v>
      </c>
      <c r="K399" s="1" t="s">
        <v>33</v>
      </c>
      <c r="L399" s="2">
        <v>46161</v>
      </c>
      <c r="M399" s="2">
        <v>46205</v>
      </c>
      <c r="N399">
        <v>1478739</v>
      </c>
      <c r="O399">
        <v>70061</v>
      </c>
      <c r="P399">
        <v>1408678</v>
      </c>
      <c r="Q399" s="1" t="s">
        <v>66</v>
      </c>
      <c r="R399" s="1" t="s">
        <v>79</v>
      </c>
      <c r="S399" s="1" t="s">
        <v>36</v>
      </c>
      <c r="T399" s="1" t="s">
        <v>36</v>
      </c>
      <c r="U399">
        <v>3.9</v>
      </c>
      <c r="V399" t="s">
        <v>38</v>
      </c>
      <c r="W399">
        <v>7</v>
      </c>
      <c r="X399" s="1" t="s">
        <v>39</v>
      </c>
    </row>
    <row r="400" spans="1:24" x14ac:dyDescent="0.55000000000000004">
      <c r="A400" s="1" t="s">
        <v>484</v>
      </c>
      <c r="B400" s="1" t="s">
        <v>70</v>
      </c>
      <c r="C400">
        <v>32</v>
      </c>
      <c r="D400" s="1" t="s">
        <v>26</v>
      </c>
      <c r="E400" s="1" t="s">
        <v>84</v>
      </c>
      <c r="F400" s="1" t="s">
        <v>85</v>
      </c>
      <c r="G400" s="1" t="s">
        <v>29</v>
      </c>
      <c r="H400" s="1" t="s">
        <v>77</v>
      </c>
      <c r="I400" s="1" t="s">
        <v>59</v>
      </c>
      <c r="J400" s="1" t="s">
        <v>32</v>
      </c>
      <c r="K400" s="1" t="s">
        <v>46</v>
      </c>
      <c r="L400" s="2">
        <v>45942</v>
      </c>
      <c r="M400" s="2">
        <v>45969</v>
      </c>
      <c r="N400">
        <v>1538474</v>
      </c>
      <c r="O400">
        <v>49162</v>
      </c>
      <c r="P400">
        <v>1489312</v>
      </c>
      <c r="Q400" s="1" t="s">
        <v>55</v>
      </c>
      <c r="R400" s="1" t="s">
        <v>48</v>
      </c>
      <c r="S400" s="1" t="s">
        <v>36</v>
      </c>
      <c r="T400" s="1" t="s">
        <v>36</v>
      </c>
      <c r="U400">
        <v>3.1</v>
      </c>
      <c r="V400" t="s">
        <v>38</v>
      </c>
      <c r="W400">
        <v>11</v>
      </c>
      <c r="X400" s="1" t="s">
        <v>60</v>
      </c>
    </row>
    <row r="401" spans="1:24" x14ac:dyDescent="0.55000000000000004">
      <c r="A401" s="1" t="s">
        <v>485</v>
      </c>
      <c r="B401" s="1" t="s">
        <v>83</v>
      </c>
      <c r="C401">
        <v>24</v>
      </c>
      <c r="D401" s="1" t="s">
        <v>26</v>
      </c>
      <c r="E401" s="1" t="s">
        <v>43</v>
      </c>
      <c r="F401" s="1" t="s">
        <v>44</v>
      </c>
      <c r="G401" s="1" t="s">
        <v>29</v>
      </c>
      <c r="H401" s="1" t="s">
        <v>77</v>
      </c>
      <c r="I401" s="1" t="s">
        <v>59</v>
      </c>
      <c r="J401" s="1" t="s">
        <v>32</v>
      </c>
      <c r="K401" s="1" t="s">
        <v>33</v>
      </c>
      <c r="L401" s="2">
        <v>45915</v>
      </c>
      <c r="M401" s="2">
        <v>45955</v>
      </c>
      <c r="N401">
        <v>1490591</v>
      </c>
      <c r="O401">
        <v>60553</v>
      </c>
      <c r="P401">
        <v>1430038</v>
      </c>
      <c r="Q401" s="1" t="s">
        <v>55</v>
      </c>
      <c r="R401" s="1" t="s">
        <v>48</v>
      </c>
      <c r="S401" s="1" t="s">
        <v>36</v>
      </c>
      <c r="T401" s="1" t="s">
        <v>36</v>
      </c>
      <c r="U401">
        <v>4.0999999999999996</v>
      </c>
      <c r="V401" t="s">
        <v>38</v>
      </c>
      <c r="W401">
        <v>10</v>
      </c>
      <c r="X401" s="1" t="s">
        <v>75</v>
      </c>
    </row>
    <row r="402" spans="1:24" x14ac:dyDescent="0.55000000000000004">
      <c r="A402" s="1" t="s">
        <v>486</v>
      </c>
      <c r="B402" s="1" t="s">
        <v>105</v>
      </c>
      <c r="C402">
        <v>46</v>
      </c>
      <c r="D402" s="1" t="s">
        <v>26</v>
      </c>
      <c r="E402" s="1" t="s">
        <v>52</v>
      </c>
      <c r="F402" s="1" t="s">
        <v>44</v>
      </c>
      <c r="G402" s="1" t="s">
        <v>29</v>
      </c>
      <c r="H402" s="1" t="s">
        <v>30</v>
      </c>
      <c r="I402" s="1" t="s">
        <v>74</v>
      </c>
      <c r="J402" s="1" t="s">
        <v>32</v>
      </c>
      <c r="K402" s="1" t="s">
        <v>33</v>
      </c>
      <c r="L402" s="2">
        <v>45894</v>
      </c>
      <c r="M402" s="2">
        <v>45932</v>
      </c>
      <c r="N402">
        <v>1381737</v>
      </c>
      <c r="O402">
        <v>62675</v>
      </c>
      <c r="P402">
        <v>1319062</v>
      </c>
      <c r="Q402" s="1" t="s">
        <v>47</v>
      </c>
      <c r="R402" s="1" t="s">
        <v>79</v>
      </c>
      <c r="S402" s="1" t="s">
        <v>36</v>
      </c>
      <c r="T402" s="1" t="s">
        <v>36</v>
      </c>
      <c r="U402">
        <v>3.6</v>
      </c>
      <c r="V402" t="s">
        <v>38</v>
      </c>
      <c r="W402">
        <v>10</v>
      </c>
      <c r="X402" s="1" t="s">
        <v>75</v>
      </c>
    </row>
    <row r="403" spans="1:24" x14ac:dyDescent="0.55000000000000004">
      <c r="A403" s="1" t="s">
        <v>487</v>
      </c>
      <c r="B403" s="1" t="s">
        <v>70</v>
      </c>
      <c r="C403">
        <v>55</v>
      </c>
      <c r="D403" s="1" t="s">
        <v>26</v>
      </c>
      <c r="E403" s="1" t="s">
        <v>43</v>
      </c>
      <c r="F403" s="1" t="s">
        <v>44</v>
      </c>
      <c r="G403" s="1" t="s">
        <v>29</v>
      </c>
      <c r="H403" s="1" t="s">
        <v>30</v>
      </c>
      <c r="I403" s="1" t="s">
        <v>45</v>
      </c>
      <c r="J403" s="1" t="s">
        <v>32</v>
      </c>
      <c r="K403" s="1" t="s">
        <v>46</v>
      </c>
      <c r="L403" s="2">
        <v>45929</v>
      </c>
      <c r="M403" s="2">
        <v>45973</v>
      </c>
      <c r="N403">
        <v>1751291</v>
      </c>
      <c r="O403">
        <v>85272</v>
      </c>
      <c r="P403">
        <v>1666019</v>
      </c>
      <c r="Q403" s="1" t="s">
        <v>78</v>
      </c>
      <c r="R403" s="1" t="s">
        <v>67</v>
      </c>
      <c r="S403" s="1" t="s">
        <v>37</v>
      </c>
      <c r="T403" s="1" t="s">
        <v>37</v>
      </c>
      <c r="U403">
        <v>4.7</v>
      </c>
      <c r="V403" t="s">
        <v>38</v>
      </c>
      <c r="W403">
        <v>11</v>
      </c>
      <c r="X403" s="1" t="s">
        <v>60</v>
      </c>
    </row>
    <row r="404" spans="1:24" x14ac:dyDescent="0.55000000000000004">
      <c r="A404" s="1" t="s">
        <v>488</v>
      </c>
      <c r="B404" s="1" t="s">
        <v>51</v>
      </c>
      <c r="C404">
        <v>44</v>
      </c>
      <c r="D404" s="1" t="s">
        <v>42</v>
      </c>
      <c r="E404" s="1" t="s">
        <v>71</v>
      </c>
      <c r="F404" s="1" t="s">
        <v>72</v>
      </c>
      <c r="G404" s="1" t="s">
        <v>29</v>
      </c>
      <c r="H404" s="1" t="s">
        <v>65</v>
      </c>
      <c r="I404" s="1" t="s">
        <v>74</v>
      </c>
      <c r="J404" s="1" t="s">
        <v>54</v>
      </c>
      <c r="K404" s="1" t="s">
        <v>46</v>
      </c>
      <c r="L404" s="2">
        <v>45945</v>
      </c>
      <c r="M404" s="2">
        <v>45953</v>
      </c>
      <c r="N404">
        <v>1609095</v>
      </c>
      <c r="O404">
        <v>97160</v>
      </c>
      <c r="P404">
        <v>1511935</v>
      </c>
      <c r="Q404" s="1" t="s">
        <v>66</v>
      </c>
      <c r="R404" s="1" t="s">
        <v>79</v>
      </c>
      <c r="S404" s="1" t="s">
        <v>36</v>
      </c>
      <c r="T404" s="1" t="s">
        <v>37</v>
      </c>
      <c r="U404">
        <v>3.9</v>
      </c>
      <c r="V404" t="s">
        <v>91</v>
      </c>
      <c r="W404">
        <v>10</v>
      </c>
      <c r="X404" s="1" t="s">
        <v>75</v>
      </c>
    </row>
    <row r="405" spans="1:24" x14ac:dyDescent="0.55000000000000004">
      <c r="A405" s="1" t="s">
        <v>489</v>
      </c>
      <c r="B405" s="1" t="s">
        <v>98</v>
      </c>
      <c r="C405">
        <v>34</v>
      </c>
      <c r="D405" s="1" t="s">
        <v>26</v>
      </c>
      <c r="E405" s="1" t="s">
        <v>84</v>
      </c>
      <c r="F405" s="1" t="s">
        <v>85</v>
      </c>
      <c r="G405" s="1" t="s">
        <v>29</v>
      </c>
      <c r="H405" s="1" t="s">
        <v>77</v>
      </c>
      <c r="I405" s="1" t="s">
        <v>59</v>
      </c>
      <c r="J405" s="1" t="s">
        <v>32</v>
      </c>
      <c r="K405" s="1" t="s">
        <v>46</v>
      </c>
      <c r="L405" s="2">
        <v>46029</v>
      </c>
      <c r="M405" s="2">
        <v>46049</v>
      </c>
      <c r="N405">
        <v>1495288</v>
      </c>
      <c r="O405">
        <v>73145</v>
      </c>
      <c r="P405">
        <v>1422143</v>
      </c>
      <c r="Q405" s="1" t="s">
        <v>47</v>
      </c>
      <c r="R405" s="1" t="s">
        <v>109</v>
      </c>
      <c r="S405" s="1" t="s">
        <v>37</v>
      </c>
      <c r="T405" s="1" t="s">
        <v>37</v>
      </c>
      <c r="U405">
        <v>3.7</v>
      </c>
      <c r="V405" t="s">
        <v>56</v>
      </c>
      <c r="W405">
        <v>1</v>
      </c>
      <c r="X405" s="1" t="s">
        <v>88</v>
      </c>
    </row>
    <row r="406" spans="1:24" x14ac:dyDescent="0.55000000000000004">
      <c r="A406" s="1" t="s">
        <v>490</v>
      </c>
      <c r="B406" s="1" t="s">
        <v>25</v>
      </c>
      <c r="C406">
        <v>33</v>
      </c>
      <c r="D406" s="1" t="s">
        <v>26</v>
      </c>
      <c r="E406" s="1" t="s">
        <v>90</v>
      </c>
      <c r="F406" s="1" t="s">
        <v>44</v>
      </c>
      <c r="G406" s="1" t="s">
        <v>29</v>
      </c>
      <c r="H406" s="1" t="s">
        <v>65</v>
      </c>
      <c r="I406" s="1" t="s">
        <v>53</v>
      </c>
      <c r="J406" s="1" t="s">
        <v>54</v>
      </c>
      <c r="K406" s="1" t="s">
        <v>46</v>
      </c>
      <c r="L406" s="2">
        <v>45665</v>
      </c>
      <c r="M406" s="2">
        <v>45689</v>
      </c>
      <c r="N406">
        <v>1509946</v>
      </c>
      <c r="O406">
        <v>29245</v>
      </c>
      <c r="P406">
        <v>1480701</v>
      </c>
      <c r="Q406" s="1" t="s">
        <v>55</v>
      </c>
      <c r="R406" s="1" t="s">
        <v>109</v>
      </c>
      <c r="S406" s="1" t="s">
        <v>37</v>
      </c>
      <c r="T406" s="1" t="s">
        <v>37</v>
      </c>
      <c r="U406">
        <v>4.0999999999999996</v>
      </c>
      <c r="V406" t="s">
        <v>38</v>
      </c>
      <c r="W406">
        <v>2</v>
      </c>
      <c r="X406" s="1" t="s">
        <v>107</v>
      </c>
    </row>
    <row r="407" spans="1:24" x14ac:dyDescent="0.55000000000000004">
      <c r="A407" s="1" t="s">
        <v>491</v>
      </c>
      <c r="B407" s="1" t="s">
        <v>70</v>
      </c>
      <c r="C407">
        <v>24</v>
      </c>
      <c r="D407" s="1" t="s">
        <v>42</v>
      </c>
      <c r="E407" s="1" t="s">
        <v>52</v>
      </c>
      <c r="F407" s="1" t="s">
        <v>44</v>
      </c>
      <c r="G407" s="1" t="s">
        <v>29</v>
      </c>
      <c r="H407" s="1" t="s">
        <v>77</v>
      </c>
      <c r="I407" s="1" t="s">
        <v>74</v>
      </c>
      <c r="J407" s="1" t="s">
        <v>32</v>
      </c>
      <c r="K407" s="1" t="s">
        <v>46</v>
      </c>
      <c r="L407" s="2">
        <v>45728</v>
      </c>
      <c r="M407" s="2">
        <v>45747</v>
      </c>
      <c r="N407">
        <v>1493825</v>
      </c>
      <c r="O407">
        <v>66374</v>
      </c>
      <c r="P407">
        <v>1427451</v>
      </c>
      <c r="Q407" s="1" t="s">
        <v>78</v>
      </c>
      <c r="R407" s="1" t="s">
        <v>48</v>
      </c>
      <c r="S407" s="1" t="s">
        <v>37</v>
      </c>
      <c r="T407" s="1" t="s">
        <v>36</v>
      </c>
      <c r="U407">
        <v>4.5999999999999996</v>
      </c>
      <c r="V407" t="s">
        <v>56</v>
      </c>
      <c r="W407">
        <v>3</v>
      </c>
      <c r="X407" s="1" t="s">
        <v>96</v>
      </c>
    </row>
    <row r="408" spans="1:24" x14ac:dyDescent="0.55000000000000004">
      <c r="A408" s="1" t="s">
        <v>492</v>
      </c>
      <c r="B408" s="1" t="s">
        <v>25</v>
      </c>
      <c r="C408">
        <v>27</v>
      </c>
      <c r="D408" s="1" t="s">
        <v>42</v>
      </c>
      <c r="E408" s="1" t="s">
        <v>43</v>
      </c>
      <c r="F408" s="1" t="s">
        <v>44</v>
      </c>
      <c r="G408" s="1" t="s">
        <v>29</v>
      </c>
      <c r="H408" s="1" t="s">
        <v>65</v>
      </c>
      <c r="I408" s="1" t="s">
        <v>31</v>
      </c>
      <c r="J408" s="1" t="s">
        <v>32</v>
      </c>
      <c r="K408" s="1" t="s">
        <v>33</v>
      </c>
      <c r="L408" s="2">
        <v>45712</v>
      </c>
      <c r="M408" s="2">
        <v>45749</v>
      </c>
      <c r="N408">
        <v>1428004</v>
      </c>
      <c r="O408">
        <v>61112</v>
      </c>
      <c r="P408">
        <v>1366892</v>
      </c>
      <c r="Q408" s="1" t="s">
        <v>34</v>
      </c>
      <c r="R408" s="1" t="s">
        <v>109</v>
      </c>
      <c r="S408" s="1" t="s">
        <v>37</v>
      </c>
      <c r="T408" s="1" t="s">
        <v>37</v>
      </c>
      <c r="U408">
        <v>5</v>
      </c>
      <c r="V408" t="s">
        <v>38</v>
      </c>
      <c r="W408">
        <v>4</v>
      </c>
      <c r="X408" s="1" t="s">
        <v>63</v>
      </c>
    </row>
    <row r="409" spans="1:24" x14ac:dyDescent="0.55000000000000004">
      <c r="A409" s="1" t="s">
        <v>493</v>
      </c>
      <c r="B409" s="1" t="s">
        <v>70</v>
      </c>
      <c r="C409">
        <v>45</v>
      </c>
      <c r="D409" s="1" t="s">
        <v>42</v>
      </c>
      <c r="E409" s="1" t="s">
        <v>84</v>
      </c>
      <c r="F409" s="1" t="s">
        <v>85</v>
      </c>
      <c r="G409" s="1" t="s">
        <v>29</v>
      </c>
      <c r="H409" s="1" t="s">
        <v>77</v>
      </c>
      <c r="I409" s="1" t="s">
        <v>59</v>
      </c>
      <c r="J409" s="1" t="s">
        <v>32</v>
      </c>
      <c r="K409" s="1" t="s">
        <v>46</v>
      </c>
      <c r="L409" s="2">
        <v>46160</v>
      </c>
      <c r="M409" s="2">
        <v>46181</v>
      </c>
      <c r="N409">
        <v>1648093</v>
      </c>
      <c r="O409">
        <v>38311</v>
      </c>
      <c r="P409">
        <v>1609782</v>
      </c>
      <c r="Q409" s="1" t="s">
        <v>55</v>
      </c>
      <c r="R409" s="1" t="s">
        <v>79</v>
      </c>
      <c r="S409" s="1" t="s">
        <v>37</v>
      </c>
      <c r="T409" s="1" t="s">
        <v>36</v>
      </c>
      <c r="U409">
        <v>4.3</v>
      </c>
      <c r="V409" t="s">
        <v>38</v>
      </c>
      <c r="W409">
        <v>6</v>
      </c>
      <c r="X409" s="1" t="s">
        <v>68</v>
      </c>
    </row>
    <row r="410" spans="1:24" x14ac:dyDescent="0.55000000000000004">
      <c r="A410" s="1" t="s">
        <v>494</v>
      </c>
      <c r="B410" s="1" t="s">
        <v>41</v>
      </c>
      <c r="C410">
        <v>33</v>
      </c>
      <c r="D410" s="1" t="s">
        <v>26</v>
      </c>
      <c r="E410" s="1" t="s">
        <v>43</v>
      </c>
      <c r="F410" s="1" t="s">
        <v>44</v>
      </c>
      <c r="G410" s="1" t="s">
        <v>29</v>
      </c>
      <c r="H410" s="1" t="s">
        <v>30</v>
      </c>
      <c r="I410" s="1" t="s">
        <v>53</v>
      </c>
      <c r="J410" s="1" t="s">
        <v>32</v>
      </c>
      <c r="K410" s="1" t="s">
        <v>46</v>
      </c>
      <c r="L410" s="2">
        <v>45853</v>
      </c>
      <c r="M410" s="2">
        <v>45888</v>
      </c>
      <c r="N410">
        <v>1374246</v>
      </c>
      <c r="O410">
        <v>64931</v>
      </c>
      <c r="P410">
        <v>1309315</v>
      </c>
      <c r="Q410" s="1" t="s">
        <v>55</v>
      </c>
      <c r="R410" s="1" t="s">
        <v>48</v>
      </c>
      <c r="S410" s="1" t="s">
        <v>37</v>
      </c>
      <c r="T410" s="1" t="s">
        <v>37</v>
      </c>
      <c r="U410">
        <v>4.3</v>
      </c>
      <c r="V410" t="s">
        <v>38</v>
      </c>
      <c r="W410">
        <v>8</v>
      </c>
      <c r="X410" s="1" t="s">
        <v>57</v>
      </c>
    </row>
    <row r="411" spans="1:24" x14ac:dyDescent="0.55000000000000004">
      <c r="A411" s="1" t="s">
        <v>495</v>
      </c>
      <c r="B411" s="1" t="s">
        <v>98</v>
      </c>
      <c r="C411">
        <v>59</v>
      </c>
      <c r="D411" s="1" t="s">
        <v>42</v>
      </c>
      <c r="E411" s="1" t="s">
        <v>52</v>
      </c>
      <c r="F411" s="1" t="s">
        <v>44</v>
      </c>
      <c r="G411" s="1" t="s">
        <v>29</v>
      </c>
      <c r="H411" s="1" t="s">
        <v>77</v>
      </c>
      <c r="I411" s="1" t="s">
        <v>59</v>
      </c>
      <c r="J411" s="1" t="s">
        <v>32</v>
      </c>
      <c r="K411" s="1" t="s">
        <v>46</v>
      </c>
      <c r="L411" s="2">
        <v>45854</v>
      </c>
      <c r="M411" s="2">
        <v>45869</v>
      </c>
      <c r="N411">
        <v>1668799</v>
      </c>
      <c r="O411">
        <v>11142</v>
      </c>
      <c r="P411">
        <v>1657657</v>
      </c>
      <c r="Q411" s="1" t="s">
        <v>66</v>
      </c>
      <c r="R411" s="1" t="s">
        <v>48</v>
      </c>
      <c r="S411" s="1" t="s">
        <v>37</v>
      </c>
      <c r="T411" s="1" t="s">
        <v>36</v>
      </c>
      <c r="U411">
        <v>3.5</v>
      </c>
      <c r="V411" t="s">
        <v>56</v>
      </c>
      <c r="W411">
        <v>7</v>
      </c>
      <c r="X411" s="1" t="s">
        <v>39</v>
      </c>
    </row>
    <row r="412" spans="1:24" x14ac:dyDescent="0.55000000000000004">
      <c r="A412" s="1" t="s">
        <v>496</v>
      </c>
      <c r="B412" s="1" t="s">
        <v>98</v>
      </c>
      <c r="C412">
        <v>49</v>
      </c>
      <c r="D412" s="1" t="s">
        <v>26</v>
      </c>
      <c r="E412" s="1" t="s">
        <v>84</v>
      </c>
      <c r="F412" s="1" t="s">
        <v>85</v>
      </c>
      <c r="G412" s="1" t="s">
        <v>29</v>
      </c>
      <c r="H412" s="1" t="s">
        <v>77</v>
      </c>
      <c r="I412" s="1" t="s">
        <v>45</v>
      </c>
      <c r="J412" s="1" t="s">
        <v>54</v>
      </c>
      <c r="K412" s="1" t="s">
        <v>46</v>
      </c>
      <c r="L412" s="2">
        <v>45659</v>
      </c>
      <c r="M412" s="2">
        <v>45685</v>
      </c>
      <c r="N412">
        <v>1643694</v>
      </c>
      <c r="O412">
        <v>65065</v>
      </c>
      <c r="P412">
        <v>1578629</v>
      </c>
      <c r="Q412" s="1" t="s">
        <v>78</v>
      </c>
      <c r="R412" s="1" t="s">
        <v>67</v>
      </c>
      <c r="S412" s="1" t="s">
        <v>36</v>
      </c>
      <c r="T412" s="1" t="s">
        <v>37</v>
      </c>
      <c r="U412">
        <v>3.5</v>
      </c>
      <c r="V412" t="s">
        <v>38</v>
      </c>
      <c r="W412">
        <v>1</v>
      </c>
      <c r="X412" s="1" t="s">
        <v>88</v>
      </c>
    </row>
    <row r="413" spans="1:24" x14ac:dyDescent="0.55000000000000004">
      <c r="A413" s="1" t="s">
        <v>497</v>
      </c>
      <c r="B413" s="1" t="s">
        <v>105</v>
      </c>
      <c r="C413">
        <v>40</v>
      </c>
      <c r="D413" s="1" t="s">
        <v>42</v>
      </c>
      <c r="E413" s="1" t="s">
        <v>90</v>
      </c>
      <c r="F413" s="1" t="s">
        <v>44</v>
      </c>
      <c r="G413" s="1" t="s">
        <v>29</v>
      </c>
      <c r="H413" s="1" t="s">
        <v>65</v>
      </c>
      <c r="I413" s="1" t="s">
        <v>45</v>
      </c>
      <c r="J413" s="1" t="s">
        <v>32</v>
      </c>
      <c r="K413" s="1" t="s">
        <v>46</v>
      </c>
      <c r="L413" s="2">
        <v>45698</v>
      </c>
      <c r="M413" s="2">
        <v>45735</v>
      </c>
      <c r="N413">
        <v>1313767</v>
      </c>
      <c r="O413">
        <v>57842</v>
      </c>
      <c r="P413">
        <v>1255925</v>
      </c>
      <c r="Q413" s="1" t="s">
        <v>55</v>
      </c>
      <c r="R413" s="1" t="s">
        <v>35</v>
      </c>
      <c r="S413" s="1" t="s">
        <v>36</v>
      </c>
      <c r="T413" s="1" t="s">
        <v>37</v>
      </c>
      <c r="U413">
        <v>5</v>
      </c>
      <c r="V413" t="s">
        <v>38</v>
      </c>
      <c r="W413">
        <v>3</v>
      </c>
      <c r="X413" s="1" t="s">
        <v>96</v>
      </c>
    </row>
    <row r="414" spans="1:24" x14ac:dyDescent="0.55000000000000004">
      <c r="A414" s="1" t="s">
        <v>498</v>
      </c>
      <c r="B414" s="1" t="s">
        <v>81</v>
      </c>
      <c r="C414">
        <v>36</v>
      </c>
      <c r="D414" s="1" t="s">
        <v>42</v>
      </c>
      <c r="E414" s="1" t="s">
        <v>90</v>
      </c>
      <c r="F414" s="1" t="s">
        <v>44</v>
      </c>
      <c r="G414" s="1" t="s">
        <v>29</v>
      </c>
      <c r="H414" s="1" t="s">
        <v>65</v>
      </c>
      <c r="I414" s="1" t="s">
        <v>45</v>
      </c>
      <c r="J414" s="1" t="s">
        <v>32</v>
      </c>
      <c r="K414" s="1" t="s">
        <v>33</v>
      </c>
      <c r="L414" s="2">
        <v>45789</v>
      </c>
      <c r="M414" s="2">
        <v>45818</v>
      </c>
      <c r="N414">
        <v>1597643</v>
      </c>
      <c r="O414">
        <v>43267</v>
      </c>
      <c r="P414">
        <v>1554376</v>
      </c>
      <c r="Q414" s="1" t="s">
        <v>34</v>
      </c>
      <c r="R414" s="1" t="s">
        <v>79</v>
      </c>
      <c r="S414" s="1" t="s">
        <v>36</v>
      </c>
      <c r="T414" s="1" t="s">
        <v>37</v>
      </c>
      <c r="U414">
        <v>4.4000000000000004</v>
      </c>
      <c r="V414" t="s">
        <v>38</v>
      </c>
      <c r="W414">
        <v>6</v>
      </c>
      <c r="X414" s="1" t="s">
        <v>68</v>
      </c>
    </row>
    <row r="415" spans="1:24" x14ac:dyDescent="0.55000000000000004">
      <c r="A415" s="1" t="s">
        <v>499</v>
      </c>
      <c r="B415" s="1" t="s">
        <v>62</v>
      </c>
      <c r="C415">
        <v>27</v>
      </c>
      <c r="D415" s="1" t="s">
        <v>42</v>
      </c>
      <c r="E415" s="1" t="s">
        <v>27</v>
      </c>
      <c r="F415" s="1" t="s">
        <v>28</v>
      </c>
      <c r="G415" s="1" t="s">
        <v>29</v>
      </c>
      <c r="H415" s="1" t="s">
        <v>77</v>
      </c>
      <c r="I415" s="1" t="s">
        <v>45</v>
      </c>
      <c r="J415" s="1" t="s">
        <v>54</v>
      </c>
      <c r="K415" s="1" t="s">
        <v>46</v>
      </c>
      <c r="L415" s="2">
        <v>45894</v>
      </c>
      <c r="M415" s="2">
        <v>45931</v>
      </c>
      <c r="N415">
        <v>1707854</v>
      </c>
      <c r="O415">
        <v>68845</v>
      </c>
      <c r="P415">
        <v>1639009</v>
      </c>
      <c r="Q415" s="1" t="s">
        <v>47</v>
      </c>
      <c r="R415" s="1" t="s">
        <v>35</v>
      </c>
      <c r="S415" s="1" t="s">
        <v>37</v>
      </c>
      <c r="T415" s="1" t="s">
        <v>36</v>
      </c>
      <c r="U415">
        <v>4.4000000000000004</v>
      </c>
      <c r="V415" t="s">
        <v>38</v>
      </c>
      <c r="W415">
        <v>10</v>
      </c>
      <c r="X415" s="1" t="s">
        <v>75</v>
      </c>
    </row>
    <row r="416" spans="1:24" x14ac:dyDescent="0.55000000000000004">
      <c r="A416" s="1" t="s">
        <v>500</v>
      </c>
      <c r="B416" s="1" t="s">
        <v>83</v>
      </c>
      <c r="C416">
        <v>30</v>
      </c>
      <c r="D416" s="1" t="s">
        <v>26</v>
      </c>
      <c r="E416" s="1" t="s">
        <v>90</v>
      </c>
      <c r="F416" s="1" t="s">
        <v>44</v>
      </c>
      <c r="G416" s="1" t="s">
        <v>29</v>
      </c>
      <c r="H416" s="1" t="s">
        <v>30</v>
      </c>
      <c r="I416" s="1" t="s">
        <v>74</v>
      </c>
      <c r="J416" s="1" t="s">
        <v>32</v>
      </c>
      <c r="K416" s="1" t="s">
        <v>46</v>
      </c>
      <c r="L416" s="2">
        <v>45988</v>
      </c>
      <c r="M416" s="2">
        <v>46010</v>
      </c>
      <c r="N416">
        <v>1401308</v>
      </c>
      <c r="O416">
        <v>12563</v>
      </c>
      <c r="P416">
        <v>1388745</v>
      </c>
      <c r="Q416" s="1" t="s">
        <v>78</v>
      </c>
      <c r="R416" s="1" t="s">
        <v>48</v>
      </c>
      <c r="S416" s="1" t="s">
        <v>37</v>
      </c>
      <c r="T416" s="1" t="s">
        <v>36</v>
      </c>
      <c r="U416">
        <v>3.9</v>
      </c>
      <c r="V416" t="s">
        <v>38</v>
      </c>
      <c r="W416">
        <v>12</v>
      </c>
      <c r="X416" s="1" t="s">
        <v>49</v>
      </c>
    </row>
    <row r="417" spans="1:24" x14ac:dyDescent="0.55000000000000004">
      <c r="A417" s="1" t="s">
        <v>501</v>
      </c>
      <c r="B417" s="1" t="s">
        <v>70</v>
      </c>
      <c r="C417">
        <v>56</v>
      </c>
      <c r="D417" s="1" t="s">
        <v>26</v>
      </c>
      <c r="E417" s="1" t="s">
        <v>84</v>
      </c>
      <c r="F417" s="1" t="s">
        <v>85</v>
      </c>
      <c r="G417" s="1" t="s">
        <v>29</v>
      </c>
      <c r="H417" s="1" t="s">
        <v>30</v>
      </c>
      <c r="I417" s="1" t="s">
        <v>74</v>
      </c>
      <c r="J417" s="1" t="s">
        <v>54</v>
      </c>
      <c r="K417" s="1" t="s">
        <v>33</v>
      </c>
      <c r="L417" s="2">
        <v>45772</v>
      </c>
      <c r="M417" s="2">
        <v>45789</v>
      </c>
      <c r="N417">
        <v>1599733</v>
      </c>
      <c r="O417">
        <v>93013</v>
      </c>
      <c r="P417">
        <v>1506720</v>
      </c>
      <c r="Q417" s="1" t="s">
        <v>34</v>
      </c>
      <c r="R417" s="1" t="s">
        <v>79</v>
      </c>
      <c r="S417" s="1" t="s">
        <v>37</v>
      </c>
      <c r="T417" s="1" t="s">
        <v>36</v>
      </c>
      <c r="U417">
        <v>3</v>
      </c>
      <c r="V417" t="s">
        <v>56</v>
      </c>
      <c r="W417">
        <v>5</v>
      </c>
      <c r="X417" s="1" t="s">
        <v>86</v>
      </c>
    </row>
    <row r="418" spans="1:24" x14ac:dyDescent="0.55000000000000004">
      <c r="A418" s="1" t="s">
        <v>502</v>
      </c>
      <c r="B418" s="1" t="s">
        <v>62</v>
      </c>
      <c r="C418">
        <v>59</v>
      </c>
      <c r="D418" s="1" t="s">
        <v>26</v>
      </c>
      <c r="E418" s="1" t="s">
        <v>43</v>
      </c>
      <c r="F418" s="1" t="s">
        <v>44</v>
      </c>
      <c r="G418" s="1" t="s">
        <v>29</v>
      </c>
      <c r="H418" s="1" t="s">
        <v>30</v>
      </c>
      <c r="I418" s="1" t="s">
        <v>45</v>
      </c>
      <c r="J418" s="1" t="s">
        <v>54</v>
      </c>
      <c r="K418" s="1" t="s">
        <v>33</v>
      </c>
      <c r="L418" s="2">
        <v>45899</v>
      </c>
      <c r="M418" s="2">
        <v>45939</v>
      </c>
      <c r="N418">
        <v>1787562</v>
      </c>
      <c r="O418">
        <v>76322</v>
      </c>
      <c r="P418">
        <v>1711240</v>
      </c>
      <c r="Q418" s="1" t="s">
        <v>55</v>
      </c>
      <c r="R418" s="1" t="s">
        <v>67</v>
      </c>
      <c r="S418" s="1" t="s">
        <v>36</v>
      </c>
      <c r="T418" s="1" t="s">
        <v>37</v>
      </c>
      <c r="U418">
        <v>4</v>
      </c>
      <c r="V418" t="s">
        <v>38</v>
      </c>
      <c r="W418">
        <v>10</v>
      </c>
      <c r="X418" s="1" t="s">
        <v>75</v>
      </c>
    </row>
    <row r="419" spans="1:24" x14ac:dyDescent="0.55000000000000004">
      <c r="A419" s="1" t="s">
        <v>503</v>
      </c>
      <c r="B419" s="1" t="s">
        <v>70</v>
      </c>
      <c r="C419">
        <v>59</v>
      </c>
      <c r="D419" s="1" t="s">
        <v>26</v>
      </c>
      <c r="E419" s="1" t="s">
        <v>90</v>
      </c>
      <c r="F419" s="1" t="s">
        <v>44</v>
      </c>
      <c r="G419" s="1" t="s">
        <v>29</v>
      </c>
      <c r="H419" s="1" t="s">
        <v>77</v>
      </c>
      <c r="I419" s="1" t="s">
        <v>53</v>
      </c>
      <c r="J419" s="1" t="s">
        <v>32</v>
      </c>
      <c r="K419" s="1" t="s">
        <v>46</v>
      </c>
      <c r="L419" s="2">
        <v>45818</v>
      </c>
      <c r="M419" s="2">
        <v>45847</v>
      </c>
      <c r="N419">
        <v>1838648</v>
      </c>
      <c r="O419">
        <v>22768</v>
      </c>
      <c r="P419">
        <v>1815880</v>
      </c>
      <c r="Q419" s="1" t="s">
        <v>55</v>
      </c>
      <c r="R419" s="1" t="s">
        <v>67</v>
      </c>
      <c r="S419" s="1" t="s">
        <v>37</v>
      </c>
      <c r="T419" s="1" t="s">
        <v>37</v>
      </c>
      <c r="U419">
        <v>3.9</v>
      </c>
      <c r="V419" t="s">
        <v>38</v>
      </c>
      <c r="W419">
        <v>7</v>
      </c>
      <c r="X419" s="1" t="s">
        <v>39</v>
      </c>
    </row>
    <row r="420" spans="1:24" x14ac:dyDescent="0.55000000000000004">
      <c r="A420" s="1" t="s">
        <v>504</v>
      </c>
      <c r="B420" s="1" t="s">
        <v>25</v>
      </c>
      <c r="C420">
        <v>60</v>
      </c>
      <c r="D420" s="1" t="s">
        <v>26</v>
      </c>
      <c r="E420" s="1" t="s">
        <v>71</v>
      </c>
      <c r="F420" s="1" t="s">
        <v>72</v>
      </c>
      <c r="G420" s="1" t="s">
        <v>29</v>
      </c>
      <c r="H420" s="1" t="s">
        <v>65</v>
      </c>
      <c r="I420" s="1" t="s">
        <v>53</v>
      </c>
      <c r="J420" s="1" t="s">
        <v>54</v>
      </c>
      <c r="K420" s="1" t="s">
        <v>33</v>
      </c>
      <c r="L420" s="2">
        <v>45681</v>
      </c>
      <c r="M420" s="2">
        <v>45723</v>
      </c>
      <c r="N420">
        <v>1851043</v>
      </c>
      <c r="O420">
        <v>80191</v>
      </c>
      <c r="P420">
        <v>1770852</v>
      </c>
      <c r="Q420" s="1" t="s">
        <v>55</v>
      </c>
      <c r="R420" s="1" t="s">
        <v>67</v>
      </c>
      <c r="S420" s="1" t="s">
        <v>37</v>
      </c>
      <c r="T420" s="1" t="s">
        <v>36</v>
      </c>
      <c r="U420">
        <v>3.5</v>
      </c>
      <c r="V420" t="s">
        <v>38</v>
      </c>
      <c r="W420">
        <v>3</v>
      </c>
      <c r="X420" s="1" t="s">
        <v>96</v>
      </c>
    </row>
    <row r="421" spans="1:24" x14ac:dyDescent="0.55000000000000004">
      <c r="A421" s="1" t="s">
        <v>505</v>
      </c>
      <c r="B421" s="1" t="s">
        <v>62</v>
      </c>
      <c r="C421">
        <v>24</v>
      </c>
      <c r="D421" s="1" t="s">
        <v>26</v>
      </c>
      <c r="E421" s="1" t="s">
        <v>84</v>
      </c>
      <c r="F421" s="1" t="s">
        <v>85</v>
      </c>
      <c r="G421" s="1" t="s">
        <v>29</v>
      </c>
      <c r="H421" s="1" t="s">
        <v>30</v>
      </c>
      <c r="I421" s="1" t="s">
        <v>59</v>
      </c>
      <c r="J421" s="1" t="s">
        <v>54</v>
      </c>
      <c r="K421" s="1" t="s">
        <v>33</v>
      </c>
      <c r="L421" s="2">
        <v>45919</v>
      </c>
      <c r="M421" s="2">
        <v>45941</v>
      </c>
      <c r="N421">
        <v>1560621</v>
      </c>
      <c r="O421">
        <v>47537</v>
      </c>
      <c r="P421">
        <v>1513084</v>
      </c>
      <c r="Q421" s="1" t="s">
        <v>47</v>
      </c>
      <c r="R421" s="1" t="s">
        <v>109</v>
      </c>
      <c r="S421" s="1" t="s">
        <v>36</v>
      </c>
      <c r="T421" s="1" t="s">
        <v>36</v>
      </c>
      <c r="U421">
        <v>3.2</v>
      </c>
      <c r="V421" t="s">
        <v>38</v>
      </c>
      <c r="W421">
        <v>10</v>
      </c>
      <c r="X421" s="1" t="s">
        <v>75</v>
      </c>
    </row>
    <row r="422" spans="1:24" x14ac:dyDescent="0.55000000000000004">
      <c r="A422" s="1" t="s">
        <v>506</v>
      </c>
      <c r="B422" s="1" t="s">
        <v>25</v>
      </c>
      <c r="C422">
        <v>25</v>
      </c>
      <c r="D422" s="1" t="s">
        <v>26</v>
      </c>
      <c r="E422" s="1" t="s">
        <v>27</v>
      </c>
      <c r="F422" s="1" t="s">
        <v>28</v>
      </c>
      <c r="G422" s="1" t="s">
        <v>29</v>
      </c>
      <c r="H422" s="1" t="s">
        <v>30</v>
      </c>
      <c r="I422" s="1" t="s">
        <v>31</v>
      </c>
      <c r="J422" s="1" t="s">
        <v>32</v>
      </c>
      <c r="K422" s="1" t="s">
        <v>33</v>
      </c>
      <c r="L422" s="2">
        <v>46134</v>
      </c>
      <c r="M422" s="2">
        <v>46175</v>
      </c>
      <c r="N422">
        <v>1641940</v>
      </c>
      <c r="O422">
        <v>18956</v>
      </c>
      <c r="P422">
        <v>1622984</v>
      </c>
      <c r="Q422" s="1" t="s">
        <v>34</v>
      </c>
      <c r="R422" s="1" t="s">
        <v>48</v>
      </c>
      <c r="S422" s="1" t="s">
        <v>37</v>
      </c>
      <c r="T422" s="1" t="s">
        <v>36</v>
      </c>
      <c r="U422">
        <v>3.2</v>
      </c>
      <c r="V422" t="s">
        <v>38</v>
      </c>
      <c r="W422">
        <v>6</v>
      </c>
      <c r="X422" s="1" t="s">
        <v>68</v>
      </c>
    </row>
    <row r="423" spans="1:24" x14ac:dyDescent="0.55000000000000004">
      <c r="A423" s="1" t="s">
        <v>507</v>
      </c>
      <c r="B423" s="1" t="s">
        <v>98</v>
      </c>
      <c r="C423">
        <v>56</v>
      </c>
      <c r="D423" s="1" t="s">
        <v>26</v>
      </c>
      <c r="E423" s="1" t="s">
        <v>27</v>
      </c>
      <c r="F423" s="1" t="s">
        <v>28</v>
      </c>
      <c r="G423" s="1" t="s">
        <v>29</v>
      </c>
      <c r="H423" s="1" t="s">
        <v>30</v>
      </c>
      <c r="I423" s="1" t="s">
        <v>31</v>
      </c>
      <c r="J423" s="1" t="s">
        <v>54</v>
      </c>
      <c r="K423" s="1" t="s">
        <v>46</v>
      </c>
      <c r="L423" s="2">
        <v>46007</v>
      </c>
      <c r="M423" s="2">
        <v>46033</v>
      </c>
      <c r="N423">
        <v>1596252</v>
      </c>
      <c r="O423">
        <v>47411</v>
      </c>
      <c r="P423">
        <v>1548841</v>
      </c>
      <c r="Q423" s="1" t="s">
        <v>47</v>
      </c>
      <c r="R423" s="1" t="s">
        <v>48</v>
      </c>
      <c r="S423" s="1" t="s">
        <v>37</v>
      </c>
      <c r="T423" s="1" t="s">
        <v>37</v>
      </c>
      <c r="U423">
        <v>3.4</v>
      </c>
      <c r="V423" t="s">
        <v>38</v>
      </c>
      <c r="W423">
        <v>1</v>
      </c>
      <c r="X423" s="1" t="s">
        <v>88</v>
      </c>
    </row>
    <row r="424" spans="1:24" x14ac:dyDescent="0.55000000000000004">
      <c r="A424" s="1" t="s">
        <v>508</v>
      </c>
      <c r="B424" s="1" t="s">
        <v>105</v>
      </c>
      <c r="C424">
        <v>36</v>
      </c>
      <c r="D424" s="1" t="s">
        <v>42</v>
      </c>
      <c r="E424" s="1" t="s">
        <v>43</v>
      </c>
      <c r="F424" s="1" t="s">
        <v>44</v>
      </c>
      <c r="G424" s="1" t="s">
        <v>29</v>
      </c>
      <c r="H424" s="1" t="s">
        <v>30</v>
      </c>
      <c r="I424" s="1" t="s">
        <v>31</v>
      </c>
      <c r="J424" s="1" t="s">
        <v>32</v>
      </c>
      <c r="K424" s="1" t="s">
        <v>33</v>
      </c>
      <c r="L424" s="2">
        <v>45775</v>
      </c>
      <c r="M424" s="2">
        <v>45793</v>
      </c>
      <c r="N424">
        <v>1578919</v>
      </c>
      <c r="O424">
        <v>82163</v>
      </c>
      <c r="P424">
        <v>1496756</v>
      </c>
      <c r="Q424" s="1" t="s">
        <v>34</v>
      </c>
      <c r="R424" s="1" t="s">
        <v>48</v>
      </c>
      <c r="S424" s="1" t="s">
        <v>36</v>
      </c>
      <c r="T424" s="1" t="s">
        <v>36</v>
      </c>
      <c r="U424">
        <v>3.4</v>
      </c>
      <c r="V424" t="s">
        <v>56</v>
      </c>
      <c r="W424">
        <v>5</v>
      </c>
      <c r="X424" s="1" t="s">
        <v>86</v>
      </c>
    </row>
    <row r="425" spans="1:24" x14ac:dyDescent="0.55000000000000004">
      <c r="A425" s="1" t="s">
        <v>509</v>
      </c>
      <c r="B425" s="1" t="s">
        <v>62</v>
      </c>
      <c r="C425">
        <v>40</v>
      </c>
      <c r="D425" s="1" t="s">
        <v>26</v>
      </c>
      <c r="E425" s="1" t="s">
        <v>90</v>
      </c>
      <c r="F425" s="1" t="s">
        <v>44</v>
      </c>
      <c r="G425" s="1" t="s">
        <v>29</v>
      </c>
      <c r="H425" s="1" t="s">
        <v>65</v>
      </c>
      <c r="I425" s="1" t="s">
        <v>59</v>
      </c>
      <c r="J425" s="1" t="s">
        <v>32</v>
      </c>
      <c r="K425" s="1" t="s">
        <v>33</v>
      </c>
      <c r="L425" s="2">
        <v>46059</v>
      </c>
      <c r="M425" s="2">
        <v>46073</v>
      </c>
      <c r="N425">
        <v>1445119</v>
      </c>
      <c r="O425">
        <v>29883</v>
      </c>
      <c r="P425">
        <v>1415236</v>
      </c>
      <c r="Q425" s="1" t="s">
        <v>55</v>
      </c>
      <c r="R425" s="1" t="s">
        <v>79</v>
      </c>
      <c r="S425" s="1" t="s">
        <v>36</v>
      </c>
      <c r="T425" s="1" t="s">
        <v>37</v>
      </c>
      <c r="U425">
        <v>3.2</v>
      </c>
      <c r="V425" t="s">
        <v>56</v>
      </c>
      <c r="W425">
        <v>2</v>
      </c>
      <c r="X425" s="1" t="s">
        <v>107</v>
      </c>
    </row>
    <row r="426" spans="1:24" x14ac:dyDescent="0.55000000000000004">
      <c r="A426" s="1" t="s">
        <v>510</v>
      </c>
      <c r="B426" s="1" t="s">
        <v>105</v>
      </c>
      <c r="C426">
        <v>23</v>
      </c>
      <c r="D426" s="1" t="s">
        <v>42</v>
      </c>
      <c r="E426" s="1" t="s">
        <v>52</v>
      </c>
      <c r="F426" s="1" t="s">
        <v>44</v>
      </c>
      <c r="G426" s="1" t="s">
        <v>29</v>
      </c>
      <c r="H426" s="1" t="s">
        <v>30</v>
      </c>
      <c r="I426" s="1" t="s">
        <v>74</v>
      </c>
      <c r="J426" s="1" t="s">
        <v>54</v>
      </c>
      <c r="K426" s="1" t="s">
        <v>46</v>
      </c>
      <c r="L426" s="2">
        <v>45744</v>
      </c>
      <c r="M426" s="2">
        <v>45783</v>
      </c>
      <c r="N426">
        <v>1420057</v>
      </c>
      <c r="O426">
        <v>76859</v>
      </c>
      <c r="P426">
        <v>1343198</v>
      </c>
      <c r="Q426" s="1" t="s">
        <v>78</v>
      </c>
      <c r="R426" s="1" t="s">
        <v>79</v>
      </c>
      <c r="S426" s="1" t="s">
        <v>36</v>
      </c>
      <c r="T426" s="1" t="s">
        <v>37</v>
      </c>
      <c r="U426">
        <v>3.3</v>
      </c>
      <c r="V426" t="s">
        <v>38</v>
      </c>
      <c r="W426">
        <v>5</v>
      </c>
      <c r="X426" s="1" t="s">
        <v>86</v>
      </c>
    </row>
    <row r="427" spans="1:24" x14ac:dyDescent="0.55000000000000004">
      <c r="A427" s="1" t="s">
        <v>511</v>
      </c>
      <c r="B427" s="1" t="s">
        <v>83</v>
      </c>
      <c r="C427">
        <v>40</v>
      </c>
      <c r="D427" s="1" t="s">
        <v>42</v>
      </c>
      <c r="E427" s="1" t="s">
        <v>90</v>
      </c>
      <c r="F427" s="1" t="s">
        <v>44</v>
      </c>
      <c r="G427" s="1" t="s">
        <v>29</v>
      </c>
      <c r="H427" s="1" t="s">
        <v>77</v>
      </c>
      <c r="I427" s="1" t="s">
        <v>59</v>
      </c>
      <c r="J427" s="1" t="s">
        <v>54</v>
      </c>
      <c r="K427" s="1" t="s">
        <v>33</v>
      </c>
      <c r="L427" s="2">
        <v>45732</v>
      </c>
      <c r="M427" s="2">
        <v>45742</v>
      </c>
      <c r="N427">
        <v>1332362</v>
      </c>
      <c r="O427">
        <v>80925</v>
      </c>
      <c r="P427">
        <v>1251437</v>
      </c>
      <c r="Q427" s="1" t="s">
        <v>66</v>
      </c>
      <c r="R427" s="1" t="s">
        <v>67</v>
      </c>
      <c r="S427" s="1" t="s">
        <v>36</v>
      </c>
      <c r="T427" s="1" t="s">
        <v>37</v>
      </c>
      <c r="U427">
        <v>3.2</v>
      </c>
      <c r="V427" t="s">
        <v>91</v>
      </c>
      <c r="W427">
        <v>3</v>
      </c>
      <c r="X427" s="1" t="s">
        <v>96</v>
      </c>
    </row>
    <row r="428" spans="1:24" x14ac:dyDescent="0.55000000000000004">
      <c r="A428" s="1" t="s">
        <v>512</v>
      </c>
      <c r="B428" s="1" t="s">
        <v>62</v>
      </c>
      <c r="C428">
        <v>44</v>
      </c>
      <c r="D428" s="1" t="s">
        <v>42</v>
      </c>
      <c r="E428" s="1" t="s">
        <v>71</v>
      </c>
      <c r="F428" s="1" t="s">
        <v>72</v>
      </c>
      <c r="G428" s="1" t="s">
        <v>29</v>
      </c>
      <c r="H428" s="1" t="s">
        <v>30</v>
      </c>
      <c r="I428" s="1" t="s">
        <v>59</v>
      </c>
      <c r="J428" s="1" t="s">
        <v>54</v>
      </c>
      <c r="K428" s="1" t="s">
        <v>46</v>
      </c>
      <c r="L428" s="2">
        <v>45969</v>
      </c>
      <c r="M428" s="2">
        <v>45979</v>
      </c>
      <c r="N428">
        <v>1561288</v>
      </c>
      <c r="O428">
        <v>99011</v>
      </c>
      <c r="P428">
        <v>1462277</v>
      </c>
      <c r="Q428" s="1" t="s">
        <v>47</v>
      </c>
      <c r="R428" s="1" t="s">
        <v>67</v>
      </c>
      <c r="S428" s="1" t="s">
        <v>36</v>
      </c>
      <c r="T428" s="1" t="s">
        <v>37</v>
      </c>
      <c r="U428">
        <v>3.6</v>
      </c>
      <c r="V428" t="s">
        <v>91</v>
      </c>
      <c r="W428">
        <v>11</v>
      </c>
      <c r="X428" s="1" t="s">
        <v>60</v>
      </c>
    </row>
    <row r="429" spans="1:24" x14ac:dyDescent="0.55000000000000004">
      <c r="A429" s="1" t="s">
        <v>513</v>
      </c>
      <c r="B429" s="1" t="s">
        <v>51</v>
      </c>
      <c r="C429">
        <v>33</v>
      </c>
      <c r="D429" s="1" t="s">
        <v>42</v>
      </c>
      <c r="E429" s="1" t="s">
        <v>52</v>
      </c>
      <c r="F429" s="1" t="s">
        <v>44</v>
      </c>
      <c r="G429" s="1" t="s">
        <v>29</v>
      </c>
      <c r="H429" s="1" t="s">
        <v>65</v>
      </c>
      <c r="I429" s="1" t="s">
        <v>31</v>
      </c>
      <c r="J429" s="1" t="s">
        <v>32</v>
      </c>
      <c r="K429" s="1" t="s">
        <v>46</v>
      </c>
      <c r="L429" s="2">
        <v>45990</v>
      </c>
      <c r="M429" s="2">
        <v>46032</v>
      </c>
      <c r="N429">
        <v>1362737</v>
      </c>
      <c r="O429">
        <v>59270</v>
      </c>
      <c r="P429">
        <v>1303467</v>
      </c>
      <c r="Q429" s="1" t="s">
        <v>66</v>
      </c>
      <c r="R429" s="1" t="s">
        <v>109</v>
      </c>
      <c r="S429" s="1" t="s">
        <v>37</v>
      </c>
      <c r="T429" s="1" t="s">
        <v>37</v>
      </c>
      <c r="U429">
        <v>5</v>
      </c>
      <c r="V429" t="s">
        <v>38</v>
      </c>
      <c r="W429">
        <v>1</v>
      </c>
      <c r="X429" s="1" t="s">
        <v>88</v>
      </c>
    </row>
    <row r="430" spans="1:24" x14ac:dyDescent="0.55000000000000004">
      <c r="A430" s="1" t="s">
        <v>514</v>
      </c>
      <c r="B430" s="1" t="s">
        <v>25</v>
      </c>
      <c r="C430">
        <v>51</v>
      </c>
      <c r="D430" s="1" t="s">
        <v>26</v>
      </c>
      <c r="E430" s="1" t="s">
        <v>27</v>
      </c>
      <c r="F430" s="1" t="s">
        <v>28</v>
      </c>
      <c r="G430" s="1" t="s">
        <v>29</v>
      </c>
      <c r="H430" s="1" t="s">
        <v>30</v>
      </c>
      <c r="I430" s="1" t="s">
        <v>59</v>
      </c>
      <c r="J430" s="1" t="s">
        <v>54</v>
      </c>
      <c r="K430" s="1" t="s">
        <v>33</v>
      </c>
      <c r="L430" s="2">
        <v>45938</v>
      </c>
      <c r="M430" s="2">
        <v>45970</v>
      </c>
      <c r="N430">
        <v>1655330</v>
      </c>
      <c r="O430">
        <v>21895</v>
      </c>
      <c r="P430">
        <v>1633435</v>
      </c>
      <c r="Q430" s="1" t="s">
        <v>55</v>
      </c>
      <c r="R430" s="1" t="s">
        <v>79</v>
      </c>
      <c r="S430" s="1" t="s">
        <v>36</v>
      </c>
      <c r="T430" s="1" t="s">
        <v>37</v>
      </c>
      <c r="U430">
        <v>4.8</v>
      </c>
      <c r="V430" t="s">
        <v>38</v>
      </c>
      <c r="W430">
        <v>11</v>
      </c>
      <c r="X430" s="1" t="s">
        <v>60</v>
      </c>
    </row>
    <row r="431" spans="1:24" x14ac:dyDescent="0.55000000000000004">
      <c r="A431" s="1" t="s">
        <v>515</v>
      </c>
      <c r="B431" s="1" t="s">
        <v>93</v>
      </c>
      <c r="C431">
        <v>42</v>
      </c>
      <c r="D431" s="1" t="s">
        <v>42</v>
      </c>
      <c r="E431" s="1" t="s">
        <v>90</v>
      </c>
      <c r="F431" s="1" t="s">
        <v>44</v>
      </c>
      <c r="G431" s="1" t="s">
        <v>29</v>
      </c>
      <c r="H431" s="1" t="s">
        <v>65</v>
      </c>
      <c r="I431" s="1" t="s">
        <v>74</v>
      </c>
      <c r="J431" s="1" t="s">
        <v>54</v>
      </c>
      <c r="K431" s="1" t="s">
        <v>46</v>
      </c>
      <c r="L431" s="2">
        <v>46011</v>
      </c>
      <c r="M431" s="2">
        <v>46052</v>
      </c>
      <c r="N431">
        <v>1383769</v>
      </c>
      <c r="O431">
        <v>37461</v>
      </c>
      <c r="P431">
        <v>1346308</v>
      </c>
      <c r="Q431" s="1" t="s">
        <v>34</v>
      </c>
      <c r="R431" s="1" t="s">
        <v>48</v>
      </c>
      <c r="S431" s="1" t="s">
        <v>36</v>
      </c>
      <c r="T431" s="1" t="s">
        <v>37</v>
      </c>
      <c r="U431">
        <v>3.2</v>
      </c>
      <c r="V431" t="s">
        <v>38</v>
      </c>
      <c r="W431">
        <v>1</v>
      </c>
      <c r="X431" s="1" t="s">
        <v>88</v>
      </c>
    </row>
    <row r="432" spans="1:24" x14ac:dyDescent="0.55000000000000004">
      <c r="A432" s="1" t="s">
        <v>516</v>
      </c>
      <c r="B432" s="1" t="s">
        <v>25</v>
      </c>
      <c r="C432">
        <v>60</v>
      </c>
      <c r="D432" s="1" t="s">
        <v>42</v>
      </c>
      <c r="E432" s="1" t="s">
        <v>71</v>
      </c>
      <c r="F432" s="1" t="s">
        <v>72</v>
      </c>
      <c r="G432" s="1" t="s">
        <v>29</v>
      </c>
      <c r="H432" s="1" t="s">
        <v>30</v>
      </c>
      <c r="I432" s="1" t="s">
        <v>74</v>
      </c>
      <c r="J432" s="1" t="s">
        <v>32</v>
      </c>
      <c r="K432" s="1" t="s">
        <v>46</v>
      </c>
      <c r="L432" s="2">
        <v>45967</v>
      </c>
      <c r="M432" s="2">
        <v>45996</v>
      </c>
      <c r="N432">
        <v>1743284</v>
      </c>
      <c r="O432">
        <v>83571</v>
      </c>
      <c r="P432">
        <v>1659713</v>
      </c>
      <c r="Q432" s="1" t="s">
        <v>34</v>
      </c>
      <c r="R432" s="1" t="s">
        <v>67</v>
      </c>
      <c r="S432" s="1" t="s">
        <v>36</v>
      </c>
      <c r="T432" s="1" t="s">
        <v>36</v>
      </c>
      <c r="U432">
        <v>4.5999999999999996</v>
      </c>
      <c r="V432" t="s">
        <v>38</v>
      </c>
      <c r="W432">
        <v>12</v>
      </c>
      <c r="X432" s="1" t="s">
        <v>49</v>
      </c>
    </row>
    <row r="433" spans="1:24" x14ac:dyDescent="0.55000000000000004">
      <c r="A433" s="1" t="s">
        <v>517</v>
      </c>
      <c r="B433" s="1" t="s">
        <v>25</v>
      </c>
      <c r="C433">
        <v>56</v>
      </c>
      <c r="D433" s="1" t="s">
        <v>26</v>
      </c>
      <c r="E433" s="1" t="s">
        <v>71</v>
      </c>
      <c r="F433" s="1" t="s">
        <v>72</v>
      </c>
      <c r="G433" s="1" t="s">
        <v>29</v>
      </c>
      <c r="H433" s="1" t="s">
        <v>77</v>
      </c>
      <c r="I433" s="1" t="s">
        <v>53</v>
      </c>
      <c r="J433" s="1" t="s">
        <v>32</v>
      </c>
      <c r="K433" s="1" t="s">
        <v>33</v>
      </c>
      <c r="L433" s="2">
        <v>45671</v>
      </c>
      <c r="M433" s="2">
        <v>45695</v>
      </c>
      <c r="N433">
        <v>1535671</v>
      </c>
      <c r="O433">
        <v>29996</v>
      </c>
      <c r="P433">
        <v>1505675</v>
      </c>
      <c r="Q433" s="1" t="s">
        <v>66</v>
      </c>
      <c r="R433" s="1" t="s">
        <v>67</v>
      </c>
      <c r="S433" s="1" t="s">
        <v>36</v>
      </c>
      <c r="T433" s="1" t="s">
        <v>37</v>
      </c>
      <c r="U433">
        <v>3.9</v>
      </c>
      <c r="V433" t="s">
        <v>38</v>
      </c>
      <c r="W433">
        <v>2</v>
      </c>
      <c r="X433" s="1" t="s">
        <v>107</v>
      </c>
    </row>
    <row r="434" spans="1:24" x14ac:dyDescent="0.55000000000000004">
      <c r="A434" s="1" t="s">
        <v>518</v>
      </c>
      <c r="B434" s="1" t="s">
        <v>83</v>
      </c>
      <c r="C434">
        <v>60</v>
      </c>
      <c r="D434" s="1" t="s">
        <v>42</v>
      </c>
      <c r="E434" s="1" t="s">
        <v>43</v>
      </c>
      <c r="F434" s="1" t="s">
        <v>44</v>
      </c>
      <c r="G434" s="1" t="s">
        <v>29</v>
      </c>
      <c r="H434" s="1" t="s">
        <v>30</v>
      </c>
      <c r="I434" s="1" t="s">
        <v>59</v>
      </c>
      <c r="J434" s="1" t="s">
        <v>32</v>
      </c>
      <c r="K434" s="1" t="s">
        <v>46</v>
      </c>
      <c r="L434" s="2">
        <v>46100</v>
      </c>
      <c r="M434" s="2">
        <v>46137</v>
      </c>
      <c r="N434">
        <v>1439539</v>
      </c>
      <c r="O434">
        <v>36182</v>
      </c>
      <c r="P434">
        <v>1403357</v>
      </c>
      <c r="Q434" s="1" t="s">
        <v>78</v>
      </c>
      <c r="R434" s="1" t="s">
        <v>35</v>
      </c>
      <c r="S434" s="1" t="s">
        <v>37</v>
      </c>
      <c r="T434" s="1" t="s">
        <v>37</v>
      </c>
      <c r="U434">
        <v>4.2</v>
      </c>
      <c r="V434" t="s">
        <v>38</v>
      </c>
      <c r="W434">
        <v>4</v>
      </c>
      <c r="X434" s="1" t="s">
        <v>63</v>
      </c>
    </row>
    <row r="435" spans="1:24" x14ac:dyDescent="0.55000000000000004">
      <c r="A435" s="1" t="s">
        <v>519</v>
      </c>
      <c r="B435" s="1" t="s">
        <v>25</v>
      </c>
      <c r="C435">
        <v>41</v>
      </c>
      <c r="D435" s="1" t="s">
        <v>26</v>
      </c>
      <c r="E435" s="1" t="s">
        <v>52</v>
      </c>
      <c r="F435" s="1" t="s">
        <v>44</v>
      </c>
      <c r="G435" s="1" t="s">
        <v>29</v>
      </c>
      <c r="H435" s="1" t="s">
        <v>65</v>
      </c>
      <c r="I435" s="1" t="s">
        <v>53</v>
      </c>
      <c r="J435" s="1" t="s">
        <v>54</v>
      </c>
      <c r="K435" s="1" t="s">
        <v>33</v>
      </c>
      <c r="L435" s="2">
        <v>46011</v>
      </c>
      <c r="M435" s="2">
        <v>46055</v>
      </c>
      <c r="N435">
        <v>1834873</v>
      </c>
      <c r="O435">
        <v>46772</v>
      </c>
      <c r="P435">
        <v>1788101</v>
      </c>
      <c r="Q435" s="1" t="s">
        <v>78</v>
      </c>
      <c r="R435" s="1" t="s">
        <v>79</v>
      </c>
      <c r="S435" s="1" t="s">
        <v>36</v>
      </c>
      <c r="T435" s="1" t="s">
        <v>36</v>
      </c>
      <c r="U435">
        <v>3.8</v>
      </c>
      <c r="V435" t="s">
        <v>38</v>
      </c>
      <c r="W435">
        <v>2</v>
      </c>
      <c r="X435" s="1" t="s">
        <v>107</v>
      </c>
    </row>
    <row r="436" spans="1:24" x14ac:dyDescent="0.55000000000000004">
      <c r="A436" s="1" t="s">
        <v>520</v>
      </c>
      <c r="B436" s="1" t="s">
        <v>105</v>
      </c>
      <c r="C436">
        <v>40</v>
      </c>
      <c r="D436" s="1" t="s">
        <v>26</v>
      </c>
      <c r="E436" s="1" t="s">
        <v>27</v>
      </c>
      <c r="F436" s="1" t="s">
        <v>28</v>
      </c>
      <c r="G436" s="1" t="s">
        <v>29</v>
      </c>
      <c r="H436" s="1" t="s">
        <v>65</v>
      </c>
      <c r="I436" s="1" t="s">
        <v>59</v>
      </c>
      <c r="J436" s="1" t="s">
        <v>54</v>
      </c>
      <c r="K436" s="1" t="s">
        <v>33</v>
      </c>
      <c r="L436" s="2">
        <v>45830</v>
      </c>
      <c r="M436" s="2">
        <v>45847</v>
      </c>
      <c r="N436">
        <v>1764429</v>
      </c>
      <c r="O436">
        <v>48835</v>
      </c>
      <c r="P436">
        <v>1715594</v>
      </c>
      <c r="Q436" s="1" t="s">
        <v>78</v>
      </c>
      <c r="R436" s="1" t="s">
        <v>48</v>
      </c>
      <c r="S436" s="1" t="s">
        <v>37</v>
      </c>
      <c r="T436" s="1" t="s">
        <v>37</v>
      </c>
      <c r="U436">
        <v>4.0999999999999996</v>
      </c>
      <c r="V436" t="s">
        <v>56</v>
      </c>
      <c r="W436">
        <v>7</v>
      </c>
      <c r="X436" s="1" t="s">
        <v>39</v>
      </c>
    </row>
    <row r="437" spans="1:24" x14ac:dyDescent="0.55000000000000004">
      <c r="A437" s="1" t="s">
        <v>521</v>
      </c>
      <c r="B437" s="1" t="s">
        <v>81</v>
      </c>
      <c r="C437">
        <v>21</v>
      </c>
      <c r="D437" s="1" t="s">
        <v>26</v>
      </c>
      <c r="E437" s="1" t="s">
        <v>27</v>
      </c>
      <c r="F437" s="1" t="s">
        <v>28</v>
      </c>
      <c r="G437" s="1" t="s">
        <v>29</v>
      </c>
      <c r="H437" s="1" t="s">
        <v>30</v>
      </c>
      <c r="I437" s="1" t="s">
        <v>53</v>
      </c>
      <c r="J437" s="1" t="s">
        <v>32</v>
      </c>
      <c r="K437" s="1" t="s">
        <v>46</v>
      </c>
      <c r="L437" s="2">
        <v>46046</v>
      </c>
      <c r="M437" s="2">
        <v>46053</v>
      </c>
      <c r="N437">
        <v>1818004</v>
      </c>
      <c r="O437">
        <v>39835</v>
      </c>
      <c r="P437">
        <v>1778169</v>
      </c>
      <c r="Q437" s="1" t="s">
        <v>47</v>
      </c>
      <c r="R437" s="1" t="s">
        <v>79</v>
      </c>
      <c r="S437" s="1" t="s">
        <v>36</v>
      </c>
      <c r="T437" s="1" t="s">
        <v>37</v>
      </c>
      <c r="U437">
        <v>4.3</v>
      </c>
      <c r="V437" t="s">
        <v>91</v>
      </c>
      <c r="W437">
        <v>1</v>
      </c>
      <c r="X437" s="1" t="s">
        <v>88</v>
      </c>
    </row>
    <row r="438" spans="1:24" x14ac:dyDescent="0.55000000000000004">
      <c r="A438" s="1" t="s">
        <v>522</v>
      </c>
      <c r="B438" s="1" t="s">
        <v>83</v>
      </c>
      <c r="C438">
        <v>29</v>
      </c>
      <c r="D438" s="1" t="s">
        <v>42</v>
      </c>
      <c r="E438" s="1" t="s">
        <v>52</v>
      </c>
      <c r="F438" s="1" t="s">
        <v>44</v>
      </c>
      <c r="G438" s="1" t="s">
        <v>29</v>
      </c>
      <c r="H438" s="1" t="s">
        <v>65</v>
      </c>
      <c r="I438" s="1" t="s">
        <v>74</v>
      </c>
      <c r="J438" s="1" t="s">
        <v>32</v>
      </c>
      <c r="K438" s="1" t="s">
        <v>33</v>
      </c>
      <c r="L438" s="2">
        <v>45716</v>
      </c>
      <c r="M438" s="2">
        <v>45743</v>
      </c>
      <c r="N438">
        <v>1560950</v>
      </c>
      <c r="O438">
        <v>19522</v>
      </c>
      <c r="P438">
        <v>1541428</v>
      </c>
      <c r="Q438" s="1" t="s">
        <v>47</v>
      </c>
      <c r="R438" s="1" t="s">
        <v>35</v>
      </c>
      <c r="S438" s="1" t="s">
        <v>36</v>
      </c>
      <c r="T438" s="1" t="s">
        <v>37</v>
      </c>
      <c r="U438">
        <v>4</v>
      </c>
      <c r="V438" t="s">
        <v>38</v>
      </c>
      <c r="W438">
        <v>3</v>
      </c>
      <c r="X438" s="1" t="s">
        <v>96</v>
      </c>
    </row>
    <row r="439" spans="1:24" x14ac:dyDescent="0.55000000000000004">
      <c r="A439" s="1" t="s">
        <v>523</v>
      </c>
      <c r="B439" s="1" t="s">
        <v>41</v>
      </c>
      <c r="C439">
        <v>34</v>
      </c>
      <c r="D439" s="1" t="s">
        <v>26</v>
      </c>
      <c r="E439" s="1" t="s">
        <v>27</v>
      </c>
      <c r="F439" s="1" t="s">
        <v>28</v>
      </c>
      <c r="G439" s="1" t="s">
        <v>29</v>
      </c>
      <c r="H439" s="1" t="s">
        <v>65</v>
      </c>
      <c r="I439" s="1" t="s">
        <v>74</v>
      </c>
      <c r="J439" s="1" t="s">
        <v>32</v>
      </c>
      <c r="K439" s="1" t="s">
        <v>46</v>
      </c>
      <c r="L439" s="2">
        <v>46040</v>
      </c>
      <c r="M439" s="2">
        <v>46071</v>
      </c>
      <c r="N439">
        <v>1590226</v>
      </c>
      <c r="O439">
        <v>49984</v>
      </c>
      <c r="P439">
        <v>1540242</v>
      </c>
      <c r="Q439" s="1" t="s">
        <v>34</v>
      </c>
      <c r="R439" s="1" t="s">
        <v>109</v>
      </c>
      <c r="S439" s="1" t="s">
        <v>37</v>
      </c>
      <c r="T439" s="1" t="s">
        <v>37</v>
      </c>
      <c r="U439">
        <v>3.7</v>
      </c>
      <c r="V439" t="s">
        <v>38</v>
      </c>
      <c r="W439">
        <v>2</v>
      </c>
      <c r="X439" s="1" t="s">
        <v>107</v>
      </c>
    </row>
    <row r="440" spans="1:24" x14ac:dyDescent="0.55000000000000004">
      <c r="A440" s="1" t="s">
        <v>524</v>
      </c>
      <c r="B440" s="1" t="s">
        <v>81</v>
      </c>
      <c r="C440">
        <v>24</v>
      </c>
      <c r="D440" s="1" t="s">
        <v>26</v>
      </c>
      <c r="E440" s="1" t="s">
        <v>90</v>
      </c>
      <c r="F440" s="1" t="s">
        <v>44</v>
      </c>
      <c r="G440" s="1" t="s">
        <v>29</v>
      </c>
      <c r="H440" s="1" t="s">
        <v>65</v>
      </c>
      <c r="I440" s="1" t="s">
        <v>31</v>
      </c>
      <c r="J440" s="1" t="s">
        <v>54</v>
      </c>
      <c r="K440" s="1" t="s">
        <v>33</v>
      </c>
      <c r="L440" s="2">
        <v>45976</v>
      </c>
      <c r="M440" s="2">
        <v>46016</v>
      </c>
      <c r="N440">
        <v>1670868</v>
      </c>
      <c r="O440">
        <v>89189</v>
      </c>
      <c r="P440">
        <v>1581679</v>
      </c>
      <c r="Q440" s="1" t="s">
        <v>47</v>
      </c>
      <c r="R440" s="1" t="s">
        <v>35</v>
      </c>
      <c r="S440" s="1" t="s">
        <v>37</v>
      </c>
      <c r="T440" s="1" t="s">
        <v>36</v>
      </c>
      <c r="U440">
        <v>4.0999999999999996</v>
      </c>
      <c r="V440" t="s">
        <v>38</v>
      </c>
      <c r="W440">
        <v>12</v>
      </c>
      <c r="X440" s="1" t="s">
        <v>49</v>
      </c>
    </row>
    <row r="441" spans="1:24" x14ac:dyDescent="0.55000000000000004">
      <c r="A441" s="1" t="s">
        <v>525</v>
      </c>
      <c r="B441" s="1" t="s">
        <v>93</v>
      </c>
      <c r="C441">
        <v>28</v>
      </c>
      <c r="D441" s="1" t="s">
        <v>42</v>
      </c>
      <c r="E441" s="1" t="s">
        <v>71</v>
      </c>
      <c r="F441" s="1" t="s">
        <v>72</v>
      </c>
      <c r="G441" s="1" t="s">
        <v>29</v>
      </c>
      <c r="H441" s="1" t="s">
        <v>77</v>
      </c>
      <c r="I441" s="1" t="s">
        <v>53</v>
      </c>
      <c r="J441" s="1" t="s">
        <v>32</v>
      </c>
      <c r="K441" s="1" t="s">
        <v>46</v>
      </c>
      <c r="L441" s="2">
        <v>45665</v>
      </c>
      <c r="M441" s="2">
        <v>45677</v>
      </c>
      <c r="N441">
        <v>1327340</v>
      </c>
      <c r="O441">
        <v>72331</v>
      </c>
      <c r="P441">
        <v>1255009</v>
      </c>
      <c r="Q441" s="1" t="s">
        <v>78</v>
      </c>
      <c r="R441" s="1" t="s">
        <v>67</v>
      </c>
      <c r="S441" s="1" t="s">
        <v>37</v>
      </c>
      <c r="T441" s="1" t="s">
        <v>37</v>
      </c>
      <c r="U441">
        <v>3.6</v>
      </c>
      <c r="V441" t="s">
        <v>56</v>
      </c>
      <c r="W441">
        <v>1</v>
      </c>
      <c r="X441" s="1" t="s">
        <v>88</v>
      </c>
    </row>
    <row r="442" spans="1:24" x14ac:dyDescent="0.55000000000000004">
      <c r="A442" s="1" t="s">
        <v>526</v>
      </c>
      <c r="B442" s="1" t="s">
        <v>93</v>
      </c>
      <c r="C442">
        <v>60</v>
      </c>
      <c r="D442" s="1" t="s">
        <v>26</v>
      </c>
      <c r="E442" s="1" t="s">
        <v>52</v>
      </c>
      <c r="F442" s="1" t="s">
        <v>44</v>
      </c>
      <c r="G442" s="1" t="s">
        <v>29</v>
      </c>
      <c r="H442" s="1" t="s">
        <v>65</v>
      </c>
      <c r="I442" s="1" t="s">
        <v>45</v>
      </c>
      <c r="J442" s="1" t="s">
        <v>32</v>
      </c>
      <c r="K442" s="1" t="s">
        <v>33</v>
      </c>
      <c r="L442" s="2">
        <v>46077</v>
      </c>
      <c r="M442" s="2">
        <v>46100</v>
      </c>
      <c r="N442">
        <v>1502417</v>
      </c>
      <c r="O442">
        <v>82709</v>
      </c>
      <c r="P442">
        <v>1419708</v>
      </c>
      <c r="Q442" s="1" t="s">
        <v>78</v>
      </c>
      <c r="R442" s="1" t="s">
        <v>79</v>
      </c>
      <c r="S442" s="1" t="s">
        <v>37</v>
      </c>
      <c r="T442" s="1" t="s">
        <v>37</v>
      </c>
      <c r="U442">
        <v>3</v>
      </c>
      <c r="V442" t="s">
        <v>38</v>
      </c>
      <c r="W442">
        <v>3</v>
      </c>
      <c r="X442" s="1" t="s">
        <v>96</v>
      </c>
    </row>
    <row r="443" spans="1:24" x14ac:dyDescent="0.55000000000000004">
      <c r="A443" s="1" t="s">
        <v>527</v>
      </c>
      <c r="B443" s="1" t="s">
        <v>62</v>
      </c>
      <c r="C443">
        <v>31</v>
      </c>
      <c r="D443" s="1" t="s">
        <v>42</v>
      </c>
      <c r="E443" s="1" t="s">
        <v>52</v>
      </c>
      <c r="F443" s="1" t="s">
        <v>44</v>
      </c>
      <c r="G443" s="1" t="s">
        <v>29</v>
      </c>
      <c r="H443" s="1" t="s">
        <v>65</v>
      </c>
      <c r="I443" s="1" t="s">
        <v>53</v>
      </c>
      <c r="J443" s="1" t="s">
        <v>54</v>
      </c>
      <c r="K443" s="1" t="s">
        <v>46</v>
      </c>
      <c r="L443" s="2">
        <v>45877</v>
      </c>
      <c r="M443" s="2">
        <v>45895</v>
      </c>
      <c r="N443">
        <v>1305172</v>
      </c>
      <c r="O443">
        <v>73214</v>
      </c>
      <c r="P443">
        <v>1231958</v>
      </c>
      <c r="Q443" s="1" t="s">
        <v>55</v>
      </c>
      <c r="R443" s="1" t="s">
        <v>79</v>
      </c>
      <c r="S443" s="1" t="s">
        <v>36</v>
      </c>
      <c r="T443" s="1" t="s">
        <v>36</v>
      </c>
      <c r="U443">
        <v>4.0999999999999996</v>
      </c>
      <c r="V443" t="s">
        <v>56</v>
      </c>
      <c r="W443">
        <v>8</v>
      </c>
      <c r="X443" s="1" t="s">
        <v>57</v>
      </c>
    </row>
    <row r="444" spans="1:24" x14ac:dyDescent="0.55000000000000004">
      <c r="A444" s="1" t="s">
        <v>528</v>
      </c>
      <c r="B444" s="1" t="s">
        <v>62</v>
      </c>
      <c r="C444">
        <v>50</v>
      </c>
      <c r="D444" s="1" t="s">
        <v>26</v>
      </c>
      <c r="E444" s="1" t="s">
        <v>84</v>
      </c>
      <c r="F444" s="1" t="s">
        <v>85</v>
      </c>
      <c r="G444" s="1" t="s">
        <v>29</v>
      </c>
      <c r="H444" s="1" t="s">
        <v>65</v>
      </c>
      <c r="I444" s="1" t="s">
        <v>74</v>
      </c>
      <c r="J444" s="1" t="s">
        <v>32</v>
      </c>
      <c r="K444" s="1" t="s">
        <v>46</v>
      </c>
      <c r="L444" s="2">
        <v>45658</v>
      </c>
      <c r="M444" s="2">
        <v>45701</v>
      </c>
      <c r="N444">
        <v>1412035</v>
      </c>
      <c r="O444">
        <v>48742</v>
      </c>
      <c r="P444">
        <v>1363293</v>
      </c>
      <c r="Q444" s="1" t="s">
        <v>34</v>
      </c>
      <c r="R444" s="1" t="s">
        <v>109</v>
      </c>
      <c r="S444" s="1" t="s">
        <v>37</v>
      </c>
      <c r="T444" s="1" t="s">
        <v>37</v>
      </c>
      <c r="U444">
        <v>4.5</v>
      </c>
      <c r="V444" t="s">
        <v>38</v>
      </c>
      <c r="W444">
        <v>2</v>
      </c>
      <c r="X444" s="1" t="s">
        <v>107</v>
      </c>
    </row>
    <row r="445" spans="1:24" x14ac:dyDescent="0.55000000000000004">
      <c r="A445" s="1" t="s">
        <v>529</v>
      </c>
      <c r="B445" s="1" t="s">
        <v>105</v>
      </c>
      <c r="C445">
        <v>57</v>
      </c>
      <c r="D445" s="1" t="s">
        <v>42</v>
      </c>
      <c r="E445" s="1" t="s">
        <v>84</v>
      </c>
      <c r="F445" s="1" t="s">
        <v>85</v>
      </c>
      <c r="G445" s="1" t="s">
        <v>29</v>
      </c>
      <c r="H445" s="1" t="s">
        <v>77</v>
      </c>
      <c r="I445" s="1" t="s">
        <v>59</v>
      </c>
      <c r="J445" s="1" t="s">
        <v>54</v>
      </c>
      <c r="K445" s="1" t="s">
        <v>33</v>
      </c>
      <c r="L445" s="2">
        <v>46145</v>
      </c>
      <c r="M445" s="2">
        <v>46179</v>
      </c>
      <c r="N445">
        <v>1816160</v>
      </c>
      <c r="O445">
        <v>24919</v>
      </c>
      <c r="P445">
        <v>1791241</v>
      </c>
      <c r="Q445" s="1" t="s">
        <v>34</v>
      </c>
      <c r="R445" s="1" t="s">
        <v>48</v>
      </c>
      <c r="S445" s="1" t="s">
        <v>37</v>
      </c>
      <c r="T445" s="1" t="s">
        <v>36</v>
      </c>
      <c r="U445">
        <v>4</v>
      </c>
      <c r="V445" t="s">
        <v>38</v>
      </c>
      <c r="W445">
        <v>6</v>
      </c>
      <c r="X445" s="1" t="s">
        <v>68</v>
      </c>
    </row>
    <row r="446" spans="1:24" x14ac:dyDescent="0.55000000000000004">
      <c r="A446" s="1" t="s">
        <v>530</v>
      </c>
      <c r="B446" s="1" t="s">
        <v>51</v>
      </c>
      <c r="C446">
        <v>34</v>
      </c>
      <c r="D446" s="1" t="s">
        <v>26</v>
      </c>
      <c r="E446" s="1" t="s">
        <v>90</v>
      </c>
      <c r="F446" s="1" t="s">
        <v>44</v>
      </c>
      <c r="G446" s="1" t="s">
        <v>29</v>
      </c>
      <c r="H446" s="1" t="s">
        <v>30</v>
      </c>
      <c r="I446" s="1" t="s">
        <v>59</v>
      </c>
      <c r="J446" s="1" t="s">
        <v>54</v>
      </c>
      <c r="K446" s="1" t="s">
        <v>46</v>
      </c>
      <c r="L446" s="2">
        <v>45930</v>
      </c>
      <c r="M446" s="2">
        <v>45948</v>
      </c>
      <c r="N446">
        <v>1498837</v>
      </c>
      <c r="O446">
        <v>82086</v>
      </c>
      <c r="P446">
        <v>1416751</v>
      </c>
      <c r="Q446" s="1" t="s">
        <v>47</v>
      </c>
      <c r="R446" s="1" t="s">
        <v>35</v>
      </c>
      <c r="S446" s="1" t="s">
        <v>37</v>
      </c>
      <c r="T446" s="1" t="s">
        <v>36</v>
      </c>
      <c r="U446">
        <v>3.4</v>
      </c>
      <c r="V446" t="s">
        <v>56</v>
      </c>
      <c r="W446">
        <v>10</v>
      </c>
      <c r="X446" s="1" t="s">
        <v>75</v>
      </c>
    </row>
    <row r="447" spans="1:24" x14ac:dyDescent="0.55000000000000004">
      <c r="A447" s="1" t="s">
        <v>531</v>
      </c>
      <c r="B447" s="1" t="s">
        <v>62</v>
      </c>
      <c r="C447">
        <v>45</v>
      </c>
      <c r="D447" s="1" t="s">
        <v>26</v>
      </c>
      <c r="E447" s="1" t="s">
        <v>43</v>
      </c>
      <c r="F447" s="1" t="s">
        <v>44</v>
      </c>
      <c r="G447" s="1" t="s">
        <v>29</v>
      </c>
      <c r="H447" s="1" t="s">
        <v>65</v>
      </c>
      <c r="I447" s="1" t="s">
        <v>31</v>
      </c>
      <c r="J447" s="1" t="s">
        <v>54</v>
      </c>
      <c r="K447" s="1" t="s">
        <v>33</v>
      </c>
      <c r="L447" s="2">
        <v>45862</v>
      </c>
      <c r="M447" s="2">
        <v>45894</v>
      </c>
      <c r="N447">
        <v>1835690</v>
      </c>
      <c r="O447">
        <v>22712</v>
      </c>
      <c r="P447">
        <v>1812978</v>
      </c>
      <c r="Q447" s="1" t="s">
        <v>47</v>
      </c>
      <c r="R447" s="1" t="s">
        <v>79</v>
      </c>
      <c r="S447" s="1" t="s">
        <v>37</v>
      </c>
      <c r="T447" s="1" t="s">
        <v>37</v>
      </c>
      <c r="U447">
        <v>3.9</v>
      </c>
      <c r="V447" t="s">
        <v>38</v>
      </c>
      <c r="W447">
        <v>8</v>
      </c>
      <c r="X447" s="1" t="s">
        <v>57</v>
      </c>
    </row>
    <row r="448" spans="1:24" x14ac:dyDescent="0.55000000000000004">
      <c r="A448" s="1" t="s">
        <v>532</v>
      </c>
      <c r="B448" s="1" t="s">
        <v>51</v>
      </c>
      <c r="C448">
        <v>57</v>
      </c>
      <c r="D448" s="1" t="s">
        <v>42</v>
      </c>
      <c r="E448" s="1" t="s">
        <v>43</v>
      </c>
      <c r="F448" s="1" t="s">
        <v>44</v>
      </c>
      <c r="G448" s="1" t="s">
        <v>29</v>
      </c>
      <c r="H448" s="1" t="s">
        <v>65</v>
      </c>
      <c r="I448" s="1" t="s">
        <v>31</v>
      </c>
      <c r="J448" s="1" t="s">
        <v>54</v>
      </c>
      <c r="K448" s="1" t="s">
        <v>46</v>
      </c>
      <c r="L448" s="2">
        <v>45671</v>
      </c>
      <c r="M448" s="2">
        <v>45716</v>
      </c>
      <c r="N448">
        <v>1768231</v>
      </c>
      <c r="O448">
        <v>56875</v>
      </c>
      <c r="P448">
        <v>1711356</v>
      </c>
      <c r="Q448" s="1" t="s">
        <v>47</v>
      </c>
      <c r="R448" s="1" t="s">
        <v>109</v>
      </c>
      <c r="S448" s="1" t="s">
        <v>37</v>
      </c>
      <c r="T448" s="1" t="s">
        <v>37</v>
      </c>
      <c r="U448">
        <v>4</v>
      </c>
      <c r="V448" t="s">
        <v>38</v>
      </c>
      <c r="W448">
        <v>2</v>
      </c>
      <c r="X448" s="1" t="s">
        <v>107</v>
      </c>
    </row>
    <row r="449" spans="1:24" x14ac:dyDescent="0.55000000000000004">
      <c r="A449" s="1" t="s">
        <v>533</v>
      </c>
      <c r="B449" s="1" t="s">
        <v>51</v>
      </c>
      <c r="C449">
        <v>60</v>
      </c>
      <c r="D449" s="1" t="s">
        <v>42</v>
      </c>
      <c r="E449" s="1" t="s">
        <v>90</v>
      </c>
      <c r="F449" s="1" t="s">
        <v>44</v>
      </c>
      <c r="G449" s="1" t="s">
        <v>29</v>
      </c>
      <c r="H449" s="1" t="s">
        <v>30</v>
      </c>
      <c r="I449" s="1" t="s">
        <v>31</v>
      </c>
      <c r="J449" s="1" t="s">
        <v>32</v>
      </c>
      <c r="K449" s="1" t="s">
        <v>33</v>
      </c>
      <c r="L449" s="2">
        <v>45905</v>
      </c>
      <c r="M449" s="2">
        <v>45940</v>
      </c>
      <c r="N449">
        <v>1809317</v>
      </c>
      <c r="O449">
        <v>19063</v>
      </c>
      <c r="P449">
        <v>1790254</v>
      </c>
      <c r="Q449" s="1" t="s">
        <v>47</v>
      </c>
      <c r="R449" s="1" t="s">
        <v>109</v>
      </c>
      <c r="S449" s="1" t="s">
        <v>36</v>
      </c>
      <c r="T449" s="1" t="s">
        <v>36</v>
      </c>
      <c r="U449">
        <v>3.1</v>
      </c>
      <c r="V449" t="s">
        <v>38</v>
      </c>
      <c r="W449">
        <v>10</v>
      </c>
      <c r="X449" s="1" t="s">
        <v>75</v>
      </c>
    </row>
    <row r="450" spans="1:24" x14ac:dyDescent="0.55000000000000004">
      <c r="A450" s="1" t="s">
        <v>534</v>
      </c>
      <c r="B450" s="1" t="s">
        <v>41</v>
      </c>
      <c r="C450">
        <v>39</v>
      </c>
      <c r="D450" s="1" t="s">
        <v>26</v>
      </c>
      <c r="E450" s="1" t="s">
        <v>90</v>
      </c>
      <c r="F450" s="1" t="s">
        <v>44</v>
      </c>
      <c r="G450" s="1" t="s">
        <v>29</v>
      </c>
      <c r="H450" s="1" t="s">
        <v>65</v>
      </c>
      <c r="I450" s="1" t="s">
        <v>59</v>
      </c>
      <c r="J450" s="1" t="s">
        <v>54</v>
      </c>
      <c r="K450" s="1" t="s">
        <v>33</v>
      </c>
      <c r="L450" s="2">
        <v>45888</v>
      </c>
      <c r="M450" s="2">
        <v>45903</v>
      </c>
      <c r="N450">
        <v>1535156</v>
      </c>
      <c r="O450">
        <v>86620</v>
      </c>
      <c r="P450">
        <v>1448536</v>
      </c>
      <c r="Q450" s="1" t="s">
        <v>34</v>
      </c>
      <c r="R450" s="1" t="s">
        <v>67</v>
      </c>
      <c r="S450" s="1" t="s">
        <v>36</v>
      </c>
      <c r="T450" s="1" t="s">
        <v>37</v>
      </c>
      <c r="U450">
        <v>3.7</v>
      </c>
      <c r="V450" t="s">
        <v>56</v>
      </c>
      <c r="W450">
        <v>9</v>
      </c>
      <c r="X450" s="1" t="s">
        <v>103</v>
      </c>
    </row>
    <row r="451" spans="1:24" x14ac:dyDescent="0.55000000000000004">
      <c r="A451" s="1" t="s">
        <v>535</v>
      </c>
      <c r="B451" s="1" t="s">
        <v>62</v>
      </c>
      <c r="C451">
        <v>53</v>
      </c>
      <c r="D451" s="1" t="s">
        <v>26</v>
      </c>
      <c r="E451" s="1" t="s">
        <v>84</v>
      </c>
      <c r="F451" s="1" t="s">
        <v>85</v>
      </c>
      <c r="G451" s="1" t="s">
        <v>29</v>
      </c>
      <c r="H451" s="1" t="s">
        <v>30</v>
      </c>
      <c r="I451" s="1" t="s">
        <v>53</v>
      </c>
      <c r="J451" s="1" t="s">
        <v>54</v>
      </c>
      <c r="K451" s="1" t="s">
        <v>46</v>
      </c>
      <c r="L451" s="2">
        <v>45922</v>
      </c>
      <c r="M451" s="2">
        <v>45950</v>
      </c>
      <c r="N451">
        <v>1489681</v>
      </c>
      <c r="O451">
        <v>26434</v>
      </c>
      <c r="P451">
        <v>1463247</v>
      </c>
      <c r="Q451" s="1" t="s">
        <v>66</v>
      </c>
      <c r="R451" s="1" t="s">
        <v>109</v>
      </c>
      <c r="S451" s="1" t="s">
        <v>37</v>
      </c>
      <c r="T451" s="1" t="s">
        <v>37</v>
      </c>
      <c r="U451">
        <v>4.2</v>
      </c>
      <c r="V451" t="s">
        <v>38</v>
      </c>
      <c r="W451">
        <v>10</v>
      </c>
      <c r="X451" s="1" t="s">
        <v>75</v>
      </c>
    </row>
    <row r="452" spans="1:24" x14ac:dyDescent="0.55000000000000004">
      <c r="A452" s="1" t="s">
        <v>536</v>
      </c>
      <c r="B452" s="1" t="s">
        <v>81</v>
      </c>
      <c r="C452">
        <v>55</v>
      </c>
      <c r="D452" s="1" t="s">
        <v>26</v>
      </c>
      <c r="E452" s="1" t="s">
        <v>84</v>
      </c>
      <c r="F452" s="1" t="s">
        <v>85</v>
      </c>
      <c r="G452" s="1" t="s">
        <v>29</v>
      </c>
      <c r="H452" s="1" t="s">
        <v>30</v>
      </c>
      <c r="I452" s="1" t="s">
        <v>53</v>
      </c>
      <c r="J452" s="1" t="s">
        <v>32</v>
      </c>
      <c r="K452" s="1" t="s">
        <v>33</v>
      </c>
      <c r="L452" s="2">
        <v>45864</v>
      </c>
      <c r="M452" s="2">
        <v>45890</v>
      </c>
      <c r="N452">
        <v>1592628</v>
      </c>
      <c r="O452">
        <v>43158</v>
      </c>
      <c r="P452">
        <v>1549470</v>
      </c>
      <c r="Q452" s="1" t="s">
        <v>78</v>
      </c>
      <c r="R452" s="1" t="s">
        <v>79</v>
      </c>
      <c r="S452" s="1" t="s">
        <v>37</v>
      </c>
      <c r="T452" s="1" t="s">
        <v>37</v>
      </c>
      <c r="U452">
        <v>3.2</v>
      </c>
      <c r="V452" t="s">
        <v>38</v>
      </c>
      <c r="W452">
        <v>8</v>
      </c>
      <c r="X452" s="1" t="s">
        <v>57</v>
      </c>
    </row>
    <row r="453" spans="1:24" x14ac:dyDescent="0.55000000000000004">
      <c r="A453" s="1" t="s">
        <v>537</v>
      </c>
      <c r="B453" s="1" t="s">
        <v>62</v>
      </c>
      <c r="C453">
        <v>43</v>
      </c>
      <c r="D453" s="1" t="s">
        <v>42</v>
      </c>
      <c r="E453" s="1" t="s">
        <v>27</v>
      </c>
      <c r="F453" s="1" t="s">
        <v>28</v>
      </c>
      <c r="G453" s="1" t="s">
        <v>29</v>
      </c>
      <c r="H453" s="1" t="s">
        <v>77</v>
      </c>
      <c r="I453" s="1" t="s">
        <v>59</v>
      </c>
      <c r="J453" s="1" t="s">
        <v>32</v>
      </c>
      <c r="K453" s="1" t="s">
        <v>33</v>
      </c>
      <c r="L453" s="2">
        <v>45900</v>
      </c>
      <c r="M453" s="2">
        <v>45927</v>
      </c>
      <c r="N453">
        <v>1678468</v>
      </c>
      <c r="O453">
        <v>11491</v>
      </c>
      <c r="P453">
        <v>1666977</v>
      </c>
      <c r="Q453" s="1" t="s">
        <v>55</v>
      </c>
      <c r="R453" s="1" t="s">
        <v>109</v>
      </c>
      <c r="S453" s="1" t="s">
        <v>36</v>
      </c>
      <c r="T453" s="1" t="s">
        <v>36</v>
      </c>
      <c r="U453">
        <v>4</v>
      </c>
      <c r="V453" t="s">
        <v>38</v>
      </c>
      <c r="W453">
        <v>9</v>
      </c>
      <c r="X453" s="1" t="s">
        <v>103</v>
      </c>
    </row>
    <row r="454" spans="1:24" x14ac:dyDescent="0.55000000000000004">
      <c r="A454" s="1" t="s">
        <v>538</v>
      </c>
      <c r="B454" s="1" t="s">
        <v>81</v>
      </c>
      <c r="C454">
        <v>31</v>
      </c>
      <c r="D454" s="1" t="s">
        <v>26</v>
      </c>
      <c r="E454" s="1" t="s">
        <v>90</v>
      </c>
      <c r="F454" s="1" t="s">
        <v>44</v>
      </c>
      <c r="G454" s="1" t="s">
        <v>29</v>
      </c>
      <c r="H454" s="1" t="s">
        <v>65</v>
      </c>
      <c r="I454" s="1" t="s">
        <v>53</v>
      </c>
      <c r="J454" s="1" t="s">
        <v>54</v>
      </c>
      <c r="K454" s="1" t="s">
        <v>46</v>
      </c>
      <c r="L454" s="2">
        <v>45701</v>
      </c>
      <c r="M454" s="2">
        <v>45725</v>
      </c>
      <c r="N454">
        <v>1764103</v>
      </c>
      <c r="O454">
        <v>64015</v>
      </c>
      <c r="P454">
        <v>1700088</v>
      </c>
      <c r="Q454" s="1" t="s">
        <v>66</v>
      </c>
      <c r="R454" s="1" t="s">
        <v>67</v>
      </c>
      <c r="S454" s="1" t="s">
        <v>36</v>
      </c>
      <c r="T454" s="1" t="s">
        <v>37</v>
      </c>
      <c r="U454">
        <v>4.3</v>
      </c>
      <c r="V454" t="s">
        <v>38</v>
      </c>
      <c r="W454">
        <v>3</v>
      </c>
      <c r="X454" s="1" t="s">
        <v>96</v>
      </c>
    </row>
    <row r="455" spans="1:24" x14ac:dyDescent="0.55000000000000004">
      <c r="A455" s="1" t="s">
        <v>539</v>
      </c>
      <c r="B455" s="1" t="s">
        <v>105</v>
      </c>
      <c r="C455">
        <v>59</v>
      </c>
      <c r="D455" s="1" t="s">
        <v>26</v>
      </c>
      <c r="E455" s="1" t="s">
        <v>84</v>
      </c>
      <c r="F455" s="1" t="s">
        <v>85</v>
      </c>
      <c r="G455" s="1" t="s">
        <v>29</v>
      </c>
      <c r="H455" s="1" t="s">
        <v>77</v>
      </c>
      <c r="I455" s="1" t="s">
        <v>53</v>
      </c>
      <c r="J455" s="1" t="s">
        <v>32</v>
      </c>
      <c r="K455" s="1" t="s">
        <v>46</v>
      </c>
      <c r="L455" s="2">
        <v>45789</v>
      </c>
      <c r="M455" s="2">
        <v>45829</v>
      </c>
      <c r="N455">
        <v>1663399</v>
      </c>
      <c r="O455">
        <v>34809</v>
      </c>
      <c r="P455">
        <v>1628590</v>
      </c>
      <c r="Q455" s="1" t="s">
        <v>34</v>
      </c>
      <c r="R455" s="1" t="s">
        <v>109</v>
      </c>
      <c r="S455" s="1" t="s">
        <v>37</v>
      </c>
      <c r="T455" s="1" t="s">
        <v>36</v>
      </c>
      <c r="U455">
        <v>3.4</v>
      </c>
      <c r="V455" t="s">
        <v>38</v>
      </c>
      <c r="W455">
        <v>6</v>
      </c>
      <c r="X455" s="1" t="s">
        <v>68</v>
      </c>
    </row>
    <row r="456" spans="1:24" x14ac:dyDescent="0.55000000000000004">
      <c r="A456" s="1" t="s">
        <v>540</v>
      </c>
      <c r="B456" s="1" t="s">
        <v>81</v>
      </c>
      <c r="C456">
        <v>41</v>
      </c>
      <c r="D456" s="1" t="s">
        <v>42</v>
      </c>
      <c r="E456" s="1" t="s">
        <v>90</v>
      </c>
      <c r="F456" s="1" t="s">
        <v>44</v>
      </c>
      <c r="G456" s="1" t="s">
        <v>29</v>
      </c>
      <c r="H456" s="1" t="s">
        <v>77</v>
      </c>
      <c r="I456" s="1" t="s">
        <v>74</v>
      </c>
      <c r="J456" s="1" t="s">
        <v>54</v>
      </c>
      <c r="K456" s="1" t="s">
        <v>46</v>
      </c>
      <c r="L456" s="2">
        <v>46036</v>
      </c>
      <c r="M456" s="2">
        <v>46060</v>
      </c>
      <c r="N456">
        <v>1428771</v>
      </c>
      <c r="O456">
        <v>49293</v>
      </c>
      <c r="P456">
        <v>1379478</v>
      </c>
      <c r="Q456" s="1" t="s">
        <v>78</v>
      </c>
      <c r="R456" s="1" t="s">
        <v>79</v>
      </c>
      <c r="S456" s="1" t="s">
        <v>36</v>
      </c>
      <c r="T456" s="1" t="s">
        <v>37</v>
      </c>
      <c r="U456">
        <v>3.6</v>
      </c>
      <c r="V456" t="s">
        <v>38</v>
      </c>
      <c r="W456">
        <v>2</v>
      </c>
      <c r="X456" s="1" t="s">
        <v>107</v>
      </c>
    </row>
    <row r="457" spans="1:24" x14ac:dyDescent="0.55000000000000004">
      <c r="A457" s="1" t="s">
        <v>541</v>
      </c>
      <c r="B457" s="1" t="s">
        <v>93</v>
      </c>
      <c r="C457">
        <v>34</v>
      </c>
      <c r="D457" s="1" t="s">
        <v>42</v>
      </c>
      <c r="E457" s="1" t="s">
        <v>52</v>
      </c>
      <c r="F457" s="1" t="s">
        <v>44</v>
      </c>
      <c r="G457" s="1" t="s">
        <v>29</v>
      </c>
      <c r="H457" s="1" t="s">
        <v>30</v>
      </c>
      <c r="I457" s="1" t="s">
        <v>31</v>
      </c>
      <c r="J457" s="1" t="s">
        <v>54</v>
      </c>
      <c r="K457" s="1" t="s">
        <v>46</v>
      </c>
      <c r="L457" s="2">
        <v>45753</v>
      </c>
      <c r="M457" s="2">
        <v>45774</v>
      </c>
      <c r="N457">
        <v>1749882</v>
      </c>
      <c r="O457">
        <v>46999</v>
      </c>
      <c r="P457">
        <v>1702883</v>
      </c>
      <c r="Q457" s="1" t="s">
        <v>66</v>
      </c>
      <c r="R457" s="1" t="s">
        <v>79</v>
      </c>
      <c r="S457" s="1" t="s">
        <v>37</v>
      </c>
      <c r="T457" s="1" t="s">
        <v>37</v>
      </c>
      <c r="U457">
        <v>4.5</v>
      </c>
      <c r="V457" t="s">
        <v>38</v>
      </c>
      <c r="W457">
        <v>4</v>
      </c>
      <c r="X457" s="1" t="s">
        <v>63</v>
      </c>
    </row>
    <row r="458" spans="1:24" x14ac:dyDescent="0.55000000000000004">
      <c r="A458" s="1" t="s">
        <v>542</v>
      </c>
      <c r="B458" s="1" t="s">
        <v>70</v>
      </c>
      <c r="C458">
        <v>26</v>
      </c>
      <c r="D458" s="1" t="s">
        <v>26</v>
      </c>
      <c r="E458" s="1" t="s">
        <v>71</v>
      </c>
      <c r="F458" s="1" t="s">
        <v>72</v>
      </c>
      <c r="G458" s="1" t="s">
        <v>29</v>
      </c>
      <c r="H458" s="1" t="s">
        <v>30</v>
      </c>
      <c r="I458" s="1" t="s">
        <v>74</v>
      </c>
      <c r="J458" s="1" t="s">
        <v>32</v>
      </c>
      <c r="K458" s="1" t="s">
        <v>46</v>
      </c>
      <c r="L458" s="2">
        <v>46056</v>
      </c>
      <c r="M458" s="2">
        <v>46095</v>
      </c>
      <c r="N458">
        <v>1662312</v>
      </c>
      <c r="O458">
        <v>34088</v>
      </c>
      <c r="P458">
        <v>1628224</v>
      </c>
      <c r="Q458" s="1" t="s">
        <v>55</v>
      </c>
      <c r="R458" s="1" t="s">
        <v>35</v>
      </c>
      <c r="S458" s="1" t="s">
        <v>37</v>
      </c>
      <c r="T458" s="1" t="s">
        <v>36</v>
      </c>
      <c r="U458">
        <v>3.1</v>
      </c>
      <c r="V458" t="s">
        <v>38</v>
      </c>
      <c r="W458">
        <v>3</v>
      </c>
      <c r="X458" s="1" t="s">
        <v>96</v>
      </c>
    </row>
    <row r="459" spans="1:24" x14ac:dyDescent="0.55000000000000004">
      <c r="A459" s="1" t="s">
        <v>543</v>
      </c>
      <c r="B459" s="1" t="s">
        <v>105</v>
      </c>
      <c r="C459">
        <v>56</v>
      </c>
      <c r="D459" s="1" t="s">
        <v>42</v>
      </c>
      <c r="E459" s="1" t="s">
        <v>52</v>
      </c>
      <c r="F459" s="1" t="s">
        <v>44</v>
      </c>
      <c r="G459" s="1" t="s">
        <v>29</v>
      </c>
      <c r="H459" s="1" t="s">
        <v>30</v>
      </c>
      <c r="I459" s="1" t="s">
        <v>59</v>
      </c>
      <c r="J459" s="1" t="s">
        <v>54</v>
      </c>
      <c r="K459" s="1" t="s">
        <v>46</v>
      </c>
      <c r="L459" s="2">
        <v>46090</v>
      </c>
      <c r="M459" s="2">
        <v>46103</v>
      </c>
      <c r="N459">
        <v>1873943</v>
      </c>
      <c r="O459">
        <v>51270</v>
      </c>
      <c r="P459">
        <v>1822673</v>
      </c>
      <c r="Q459" s="1" t="s">
        <v>78</v>
      </c>
      <c r="R459" s="1" t="s">
        <v>48</v>
      </c>
      <c r="S459" s="1" t="s">
        <v>36</v>
      </c>
      <c r="T459" s="1" t="s">
        <v>37</v>
      </c>
      <c r="U459">
        <v>3.5</v>
      </c>
      <c r="V459" t="s">
        <v>56</v>
      </c>
      <c r="W459">
        <v>3</v>
      </c>
      <c r="X459" s="1" t="s">
        <v>96</v>
      </c>
    </row>
    <row r="460" spans="1:24" x14ac:dyDescent="0.55000000000000004">
      <c r="A460" s="1" t="s">
        <v>544</v>
      </c>
      <c r="B460" s="1" t="s">
        <v>93</v>
      </c>
      <c r="C460">
        <v>52</v>
      </c>
      <c r="D460" s="1" t="s">
        <v>26</v>
      </c>
      <c r="E460" s="1" t="s">
        <v>43</v>
      </c>
      <c r="F460" s="1" t="s">
        <v>44</v>
      </c>
      <c r="G460" s="1" t="s">
        <v>29</v>
      </c>
      <c r="H460" s="1" t="s">
        <v>30</v>
      </c>
      <c r="I460" s="1" t="s">
        <v>31</v>
      </c>
      <c r="J460" s="1" t="s">
        <v>54</v>
      </c>
      <c r="K460" s="1" t="s">
        <v>33</v>
      </c>
      <c r="L460" s="2">
        <v>45992</v>
      </c>
      <c r="M460" s="2">
        <v>46005</v>
      </c>
      <c r="N460">
        <v>1386285</v>
      </c>
      <c r="O460">
        <v>82685</v>
      </c>
      <c r="P460">
        <v>1303600</v>
      </c>
      <c r="Q460" s="1" t="s">
        <v>55</v>
      </c>
      <c r="R460" s="1" t="s">
        <v>48</v>
      </c>
      <c r="S460" s="1" t="s">
        <v>36</v>
      </c>
      <c r="T460" s="1" t="s">
        <v>37</v>
      </c>
      <c r="U460">
        <v>4.7</v>
      </c>
      <c r="V460" t="s">
        <v>56</v>
      </c>
      <c r="W460">
        <v>12</v>
      </c>
      <c r="X460" s="1" t="s">
        <v>49</v>
      </c>
    </row>
    <row r="461" spans="1:24" x14ac:dyDescent="0.55000000000000004">
      <c r="A461" s="1" t="s">
        <v>545</v>
      </c>
      <c r="B461" s="1" t="s">
        <v>25</v>
      </c>
      <c r="C461">
        <v>48</v>
      </c>
      <c r="D461" s="1" t="s">
        <v>26</v>
      </c>
      <c r="E461" s="1" t="s">
        <v>43</v>
      </c>
      <c r="F461" s="1" t="s">
        <v>44</v>
      </c>
      <c r="G461" s="1" t="s">
        <v>29</v>
      </c>
      <c r="H461" s="1" t="s">
        <v>30</v>
      </c>
      <c r="I461" s="1" t="s">
        <v>74</v>
      </c>
      <c r="J461" s="1" t="s">
        <v>54</v>
      </c>
      <c r="K461" s="1" t="s">
        <v>33</v>
      </c>
      <c r="L461" s="2">
        <v>45791</v>
      </c>
      <c r="M461" s="2">
        <v>45815</v>
      </c>
      <c r="N461">
        <v>1519745</v>
      </c>
      <c r="O461">
        <v>20762</v>
      </c>
      <c r="P461">
        <v>1498983</v>
      </c>
      <c r="Q461" s="1" t="s">
        <v>78</v>
      </c>
      <c r="R461" s="1" t="s">
        <v>67</v>
      </c>
      <c r="S461" s="1" t="s">
        <v>36</v>
      </c>
      <c r="T461" s="1" t="s">
        <v>36</v>
      </c>
      <c r="U461">
        <v>4.0999999999999996</v>
      </c>
      <c r="V461" t="s">
        <v>38</v>
      </c>
      <c r="W461">
        <v>6</v>
      </c>
      <c r="X461" s="1" t="s">
        <v>68</v>
      </c>
    </row>
    <row r="462" spans="1:24" x14ac:dyDescent="0.55000000000000004">
      <c r="A462" s="1" t="s">
        <v>546</v>
      </c>
      <c r="B462" s="1" t="s">
        <v>98</v>
      </c>
      <c r="C462">
        <v>27</v>
      </c>
      <c r="D462" s="1" t="s">
        <v>42</v>
      </c>
      <c r="E462" s="1" t="s">
        <v>90</v>
      </c>
      <c r="F462" s="1" t="s">
        <v>44</v>
      </c>
      <c r="G462" s="1" t="s">
        <v>29</v>
      </c>
      <c r="H462" s="1" t="s">
        <v>30</v>
      </c>
      <c r="I462" s="1" t="s">
        <v>74</v>
      </c>
      <c r="J462" s="1" t="s">
        <v>54</v>
      </c>
      <c r="K462" s="1" t="s">
        <v>33</v>
      </c>
      <c r="L462" s="2">
        <v>46070</v>
      </c>
      <c r="M462" s="2">
        <v>46086</v>
      </c>
      <c r="N462">
        <v>1322371</v>
      </c>
      <c r="O462">
        <v>20424</v>
      </c>
      <c r="P462">
        <v>1301947</v>
      </c>
      <c r="Q462" s="1" t="s">
        <v>55</v>
      </c>
      <c r="R462" s="1" t="s">
        <v>67</v>
      </c>
      <c r="S462" s="1" t="s">
        <v>37</v>
      </c>
      <c r="T462" s="1" t="s">
        <v>36</v>
      </c>
      <c r="U462">
        <v>4.5</v>
      </c>
      <c r="V462" t="s">
        <v>56</v>
      </c>
      <c r="W462">
        <v>3</v>
      </c>
      <c r="X462" s="1" t="s">
        <v>96</v>
      </c>
    </row>
    <row r="463" spans="1:24" x14ac:dyDescent="0.55000000000000004">
      <c r="A463" s="1" t="s">
        <v>547</v>
      </c>
      <c r="B463" s="1" t="s">
        <v>81</v>
      </c>
      <c r="C463">
        <v>48</v>
      </c>
      <c r="D463" s="1" t="s">
        <v>42</v>
      </c>
      <c r="E463" s="1" t="s">
        <v>71</v>
      </c>
      <c r="F463" s="1" t="s">
        <v>72</v>
      </c>
      <c r="G463" s="1" t="s">
        <v>29</v>
      </c>
      <c r="H463" s="1" t="s">
        <v>65</v>
      </c>
      <c r="I463" s="1" t="s">
        <v>53</v>
      </c>
      <c r="J463" s="1" t="s">
        <v>54</v>
      </c>
      <c r="K463" s="1" t="s">
        <v>46</v>
      </c>
      <c r="L463" s="2">
        <v>45821</v>
      </c>
      <c r="M463" s="2">
        <v>45865</v>
      </c>
      <c r="N463">
        <v>1335490</v>
      </c>
      <c r="O463">
        <v>90914</v>
      </c>
      <c r="P463">
        <v>1244576</v>
      </c>
      <c r="Q463" s="1" t="s">
        <v>47</v>
      </c>
      <c r="R463" s="1" t="s">
        <v>35</v>
      </c>
      <c r="S463" s="1" t="s">
        <v>37</v>
      </c>
      <c r="T463" s="1" t="s">
        <v>36</v>
      </c>
      <c r="U463">
        <v>3.9</v>
      </c>
      <c r="V463" t="s">
        <v>38</v>
      </c>
      <c r="W463">
        <v>7</v>
      </c>
      <c r="X463" s="1" t="s">
        <v>39</v>
      </c>
    </row>
    <row r="464" spans="1:24" x14ac:dyDescent="0.55000000000000004">
      <c r="A464" s="1" t="s">
        <v>548</v>
      </c>
      <c r="B464" s="1" t="s">
        <v>105</v>
      </c>
      <c r="C464">
        <v>37</v>
      </c>
      <c r="D464" s="1" t="s">
        <v>42</v>
      </c>
      <c r="E464" s="1" t="s">
        <v>43</v>
      </c>
      <c r="F464" s="1" t="s">
        <v>44</v>
      </c>
      <c r="G464" s="1" t="s">
        <v>29</v>
      </c>
      <c r="H464" s="1" t="s">
        <v>30</v>
      </c>
      <c r="I464" s="1" t="s">
        <v>31</v>
      </c>
      <c r="J464" s="1" t="s">
        <v>32</v>
      </c>
      <c r="K464" s="1" t="s">
        <v>46</v>
      </c>
      <c r="L464" s="2">
        <v>45879</v>
      </c>
      <c r="M464" s="2">
        <v>45908</v>
      </c>
      <c r="N464">
        <v>1828561</v>
      </c>
      <c r="O464">
        <v>14153</v>
      </c>
      <c r="P464">
        <v>1814408</v>
      </c>
      <c r="Q464" s="1" t="s">
        <v>47</v>
      </c>
      <c r="R464" s="1" t="s">
        <v>67</v>
      </c>
      <c r="S464" s="1" t="s">
        <v>37</v>
      </c>
      <c r="T464" s="1" t="s">
        <v>37</v>
      </c>
      <c r="U464">
        <v>3.1</v>
      </c>
      <c r="V464" t="s">
        <v>38</v>
      </c>
      <c r="W464">
        <v>9</v>
      </c>
      <c r="X464" s="1" t="s">
        <v>103</v>
      </c>
    </row>
    <row r="465" spans="1:24" x14ac:dyDescent="0.55000000000000004">
      <c r="A465" s="1" t="s">
        <v>549</v>
      </c>
      <c r="B465" s="1" t="s">
        <v>105</v>
      </c>
      <c r="C465">
        <v>22</v>
      </c>
      <c r="D465" s="1" t="s">
        <v>26</v>
      </c>
      <c r="E465" s="1" t="s">
        <v>71</v>
      </c>
      <c r="F465" s="1" t="s">
        <v>72</v>
      </c>
      <c r="G465" s="1" t="s">
        <v>29</v>
      </c>
      <c r="H465" s="1" t="s">
        <v>65</v>
      </c>
      <c r="I465" s="1" t="s">
        <v>59</v>
      </c>
      <c r="J465" s="1" t="s">
        <v>54</v>
      </c>
      <c r="K465" s="1" t="s">
        <v>33</v>
      </c>
      <c r="L465" s="2">
        <v>46034</v>
      </c>
      <c r="M465" s="2">
        <v>46052</v>
      </c>
      <c r="N465">
        <v>1360813</v>
      </c>
      <c r="O465">
        <v>46834</v>
      </c>
      <c r="P465">
        <v>1313979</v>
      </c>
      <c r="Q465" s="1" t="s">
        <v>34</v>
      </c>
      <c r="R465" s="1" t="s">
        <v>48</v>
      </c>
      <c r="S465" s="1" t="s">
        <v>36</v>
      </c>
      <c r="T465" s="1" t="s">
        <v>37</v>
      </c>
      <c r="U465">
        <v>3.4</v>
      </c>
      <c r="V465" t="s">
        <v>56</v>
      </c>
      <c r="W465">
        <v>1</v>
      </c>
      <c r="X465" s="1" t="s">
        <v>88</v>
      </c>
    </row>
    <row r="466" spans="1:24" x14ac:dyDescent="0.55000000000000004">
      <c r="A466" s="1" t="s">
        <v>550</v>
      </c>
      <c r="B466" s="1" t="s">
        <v>41</v>
      </c>
      <c r="C466">
        <v>32</v>
      </c>
      <c r="D466" s="1" t="s">
        <v>26</v>
      </c>
      <c r="E466" s="1" t="s">
        <v>27</v>
      </c>
      <c r="F466" s="1" t="s">
        <v>28</v>
      </c>
      <c r="G466" s="1" t="s">
        <v>29</v>
      </c>
      <c r="H466" s="1" t="s">
        <v>65</v>
      </c>
      <c r="I466" s="1" t="s">
        <v>74</v>
      </c>
      <c r="J466" s="1" t="s">
        <v>32</v>
      </c>
      <c r="K466" s="1" t="s">
        <v>46</v>
      </c>
      <c r="L466" s="2">
        <v>45956</v>
      </c>
      <c r="M466" s="2">
        <v>45992</v>
      </c>
      <c r="N466">
        <v>1570405</v>
      </c>
      <c r="O466">
        <v>63380</v>
      </c>
      <c r="P466">
        <v>1507025</v>
      </c>
      <c r="Q466" s="1" t="s">
        <v>34</v>
      </c>
      <c r="R466" s="1" t="s">
        <v>67</v>
      </c>
      <c r="S466" s="1" t="s">
        <v>37</v>
      </c>
      <c r="T466" s="1" t="s">
        <v>37</v>
      </c>
      <c r="U466">
        <v>3.7</v>
      </c>
      <c r="V466" t="s">
        <v>38</v>
      </c>
      <c r="W466">
        <v>12</v>
      </c>
      <c r="X466" s="1" t="s">
        <v>49</v>
      </c>
    </row>
    <row r="467" spans="1:24" x14ac:dyDescent="0.55000000000000004">
      <c r="A467" s="1" t="s">
        <v>551</v>
      </c>
      <c r="B467" s="1" t="s">
        <v>70</v>
      </c>
      <c r="C467">
        <v>32</v>
      </c>
      <c r="D467" s="1" t="s">
        <v>42</v>
      </c>
      <c r="E467" s="1" t="s">
        <v>90</v>
      </c>
      <c r="F467" s="1" t="s">
        <v>44</v>
      </c>
      <c r="G467" s="1" t="s">
        <v>29</v>
      </c>
      <c r="H467" s="1" t="s">
        <v>30</v>
      </c>
      <c r="I467" s="1" t="s">
        <v>59</v>
      </c>
      <c r="J467" s="1" t="s">
        <v>54</v>
      </c>
      <c r="K467" s="1" t="s">
        <v>46</v>
      </c>
      <c r="L467" s="2">
        <v>45872</v>
      </c>
      <c r="M467" s="2">
        <v>45882</v>
      </c>
      <c r="N467">
        <v>1727147</v>
      </c>
      <c r="O467">
        <v>94804</v>
      </c>
      <c r="P467">
        <v>1632343</v>
      </c>
      <c r="Q467" s="1" t="s">
        <v>55</v>
      </c>
      <c r="R467" s="1" t="s">
        <v>48</v>
      </c>
      <c r="S467" s="1" t="s">
        <v>36</v>
      </c>
      <c r="T467" s="1" t="s">
        <v>36</v>
      </c>
      <c r="U467">
        <v>3.6</v>
      </c>
      <c r="V467" t="s">
        <v>91</v>
      </c>
      <c r="W467">
        <v>8</v>
      </c>
      <c r="X467" s="1" t="s">
        <v>57</v>
      </c>
    </row>
    <row r="468" spans="1:24" x14ac:dyDescent="0.55000000000000004">
      <c r="A468" s="1" t="s">
        <v>552</v>
      </c>
      <c r="B468" s="1" t="s">
        <v>105</v>
      </c>
      <c r="C468">
        <v>57</v>
      </c>
      <c r="D468" s="1" t="s">
        <v>42</v>
      </c>
      <c r="E468" s="1" t="s">
        <v>84</v>
      </c>
      <c r="F468" s="1" t="s">
        <v>85</v>
      </c>
      <c r="G468" s="1" t="s">
        <v>29</v>
      </c>
      <c r="H468" s="1" t="s">
        <v>77</v>
      </c>
      <c r="I468" s="1" t="s">
        <v>45</v>
      </c>
      <c r="J468" s="1" t="s">
        <v>32</v>
      </c>
      <c r="K468" s="1" t="s">
        <v>46</v>
      </c>
      <c r="L468" s="2">
        <v>46122</v>
      </c>
      <c r="M468" s="2">
        <v>46160</v>
      </c>
      <c r="N468">
        <v>1712640</v>
      </c>
      <c r="O468">
        <v>87641</v>
      </c>
      <c r="P468">
        <v>1624999</v>
      </c>
      <c r="Q468" s="1" t="s">
        <v>78</v>
      </c>
      <c r="R468" s="1" t="s">
        <v>48</v>
      </c>
      <c r="S468" s="1" t="s">
        <v>37</v>
      </c>
      <c r="T468" s="1" t="s">
        <v>36</v>
      </c>
      <c r="U468">
        <v>3.8</v>
      </c>
      <c r="V468" t="s">
        <v>38</v>
      </c>
      <c r="W468">
        <v>5</v>
      </c>
      <c r="X468" s="1" t="s">
        <v>86</v>
      </c>
    </row>
    <row r="469" spans="1:24" x14ac:dyDescent="0.55000000000000004">
      <c r="A469" s="1" t="s">
        <v>553</v>
      </c>
      <c r="B469" s="1" t="s">
        <v>83</v>
      </c>
      <c r="C469">
        <v>26</v>
      </c>
      <c r="D469" s="1" t="s">
        <v>42</v>
      </c>
      <c r="E469" s="1" t="s">
        <v>43</v>
      </c>
      <c r="F469" s="1" t="s">
        <v>44</v>
      </c>
      <c r="G469" s="1" t="s">
        <v>29</v>
      </c>
      <c r="H469" s="1" t="s">
        <v>65</v>
      </c>
      <c r="I469" s="1" t="s">
        <v>45</v>
      </c>
      <c r="J469" s="1" t="s">
        <v>32</v>
      </c>
      <c r="K469" s="1" t="s">
        <v>33</v>
      </c>
      <c r="L469" s="2">
        <v>46052</v>
      </c>
      <c r="M469" s="2">
        <v>46073</v>
      </c>
      <c r="N469">
        <v>1345670</v>
      </c>
      <c r="O469">
        <v>83707</v>
      </c>
      <c r="P469">
        <v>1261963</v>
      </c>
      <c r="Q469" s="1" t="s">
        <v>55</v>
      </c>
      <c r="R469" s="1" t="s">
        <v>67</v>
      </c>
      <c r="S469" s="1" t="s">
        <v>37</v>
      </c>
      <c r="T469" s="1" t="s">
        <v>36</v>
      </c>
      <c r="U469">
        <v>3.3</v>
      </c>
      <c r="V469" t="s">
        <v>38</v>
      </c>
      <c r="W469">
        <v>2</v>
      </c>
      <c r="X469" s="1" t="s">
        <v>107</v>
      </c>
    </row>
    <row r="470" spans="1:24" x14ac:dyDescent="0.55000000000000004">
      <c r="A470" s="1" t="s">
        <v>554</v>
      </c>
      <c r="B470" s="1" t="s">
        <v>51</v>
      </c>
      <c r="C470">
        <v>31</v>
      </c>
      <c r="D470" s="1" t="s">
        <v>26</v>
      </c>
      <c r="E470" s="1" t="s">
        <v>43</v>
      </c>
      <c r="F470" s="1" t="s">
        <v>44</v>
      </c>
      <c r="G470" s="1" t="s">
        <v>29</v>
      </c>
      <c r="H470" s="1" t="s">
        <v>65</v>
      </c>
      <c r="I470" s="1" t="s">
        <v>59</v>
      </c>
      <c r="J470" s="1" t="s">
        <v>54</v>
      </c>
      <c r="K470" s="1" t="s">
        <v>33</v>
      </c>
      <c r="L470" s="2">
        <v>45710</v>
      </c>
      <c r="M470" s="2">
        <v>45733</v>
      </c>
      <c r="N470">
        <v>1346366</v>
      </c>
      <c r="O470">
        <v>43589</v>
      </c>
      <c r="P470">
        <v>1302777</v>
      </c>
      <c r="Q470" s="1" t="s">
        <v>55</v>
      </c>
      <c r="R470" s="1" t="s">
        <v>48</v>
      </c>
      <c r="S470" s="1" t="s">
        <v>37</v>
      </c>
      <c r="T470" s="1" t="s">
        <v>37</v>
      </c>
      <c r="U470">
        <v>4.7</v>
      </c>
      <c r="V470" t="s">
        <v>38</v>
      </c>
      <c r="W470">
        <v>3</v>
      </c>
      <c r="X470" s="1" t="s">
        <v>96</v>
      </c>
    </row>
    <row r="471" spans="1:24" x14ac:dyDescent="0.55000000000000004">
      <c r="A471" s="1" t="s">
        <v>555</v>
      </c>
      <c r="B471" s="1" t="s">
        <v>81</v>
      </c>
      <c r="C471">
        <v>26</v>
      </c>
      <c r="D471" s="1" t="s">
        <v>26</v>
      </c>
      <c r="E471" s="1" t="s">
        <v>43</v>
      </c>
      <c r="F471" s="1" t="s">
        <v>44</v>
      </c>
      <c r="G471" s="1" t="s">
        <v>29</v>
      </c>
      <c r="H471" s="1" t="s">
        <v>30</v>
      </c>
      <c r="I471" s="1" t="s">
        <v>45</v>
      </c>
      <c r="J471" s="1" t="s">
        <v>32</v>
      </c>
      <c r="K471" s="1" t="s">
        <v>46</v>
      </c>
      <c r="L471" s="2">
        <v>45917</v>
      </c>
      <c r="M471" s="2">
        <v>45953</v>
      </c>
      <c r="N471">
        <v>1487218</v>
      </c>
      <c r="O471">
        <v>38858</v>
      </c>
      <c r="P471">
        <v>1448360</v>
      </c>
      <c r="Q471" s="1" t="s">
        <v>47</v>
      </c>
      <c r="R471" s="1" t="s">
        <v>48</v>
      </c>
      <c r="S471" s="1" t="s">
        <v>37</v>
      </c>
      <c r="T471" s="1" t="s">
        <v>37</v>
      </c>
      <c r="U471">
        <v>4.8</v>
      </c>
      <c r="V471" t="s">
        <v>38</v>
      </c>
      <c r="W471">
        <v>10</v>
      </c>
      <c r="X471" s="1" t="s">
        <v>75</v>
      </c>
    </row>
    <row r="472" spans="1:24" x14ac:dyDescent="0.55000000000000004">
      <c r="A472" s="1" t="s">
        <v>556</v>
      </c>
      <c r="B472" s="1" t="s">
        <v>98</v>
      </c>
      <c r="C472">
        <v>25</v>
      </c>
      <c r="D472" s="1" t="s">
        <v>42</v>
      </c>
      <c r="E472" s="1" t="s">
        <v>84</v>
      </c>
      <c r="F472" s="1" t="s">
        <v>85</v>
      </c>
      <c r="G472" s="1" t="s">
        <v>29</v>
      </c>
      <c r="H472" s="1" t="s">
        <v>65</v>
      </c>
      <c r="I472" s="1" t="s">
        <v>53</v>
      </c>
      <c r="J472" s="1" t="s">
        <v>54</v>
      </c>
      <c r="K472" s="1" t="s">
        <v>46</v>
      </c>
      <c r="L472" s="2">
        <v>46073</v>
      </c>
      <c r="M472" s="2">
        <v>46098</v>
      </c>
      <c r="N472">
        <v>1896376</v>
      </c>
      <c r="O472">
        <v>66892</v>
      </c>
      <c r="P472">
        <v>1829484</v>
      </c>
      <c r="Q472" s="1" t="s">
        <v>47</v>
      </c>
      <c r="R472" s="1" t="s">
        <v>109</v>
      </c>
      <c r="S472" s="1" t="s">
        <v>37</v>
      </c>
      <c r="T472" s="1" t="s">
        <v>37</v>
      </c>
      <c r="U472">
        <v>3.5</v>
      </c>
      <c r="V472" t="s">
        <v>38</v>
      </c>
      <c r="W472">
        <v>3</v>
      </c>
      <c r="X472" s="1" t="s">
        <v>96</v>
      </c>
    </row>
    <row r="473" spans="1:24" x14ac:dyDescent="0.55000000000000004">
      <c r="A473" s="1" t="s">
        <v>557</v>
      </c>
      <c r="B473" s="1" t="s">
        <v>83</v>
      </c>
      <c r="C473">
        <v>38</v>
      </c>
      <c r="D473" s="1" t="s">
        <v>42</v>
      </c>
      <c r="E473" s="1" t="s">
        <v>90</v>
      </c>
      <c r="F473" s="1" t="s">
        <v>44</v>
      </c>
      <c r="G473" s="1" t="s">
        <v>29</v>
      </c>
      <c r="H473" s="1" t="s">
        <v>77</v>
      </c>
      <c r="I473" s="1" t="s">
        <v>45</v>
      </c>
      <c r="J473" s="1" t="s">
        <v>32</v>
      </c>
      <c r="K473" s="1" t="s">
        <v>46</v>
      </c>
      <c r="L473" s="2">
        <v>45830</v>
      </c>
      <c r="M473" s="2">
        <v>45872</v>
      </c>
      <c r="N473">
        <v>1496689</v>
      </c>
      <c r="O473">
        <v>86696</v>
      </c>
      <c r="P473">
        <v>1409993</v>
      </c>
      <c r="Q473" s="1" t="s">
        <v>34</v>
      </c>
      <c r="R473" s="1" t="s">
        <v>35</v>
      </c>
      <c r="S473" s="1" t="s">
        <v>37</v>
      </c>
      <c r="T473" s="1" t="s">
        <v>37</v>
      </c>
      <c r="U473">
        <v>5</v>
      </c>
      <c r="V473" t="s">
        <v>38</v>
      </c>
      <c r="W473">
        <v>8</v>
      </c>
      <c r="X473" s="1" t="s">
        <v>57</v>
      </c>
    </row>
    <row r="474" spans="1:24" x14ac:dyDescent="0.55000000000000004">
      <c r="A474" s="1" t="s">
        <v>558</v>
      </c>
      <c r="B474" s="1" t="s">
        <v>25</v>
      </c>
      <c r="C474">
        <v>59</v>
      </c>
      <c r="D474" s="1" t="s">
        <v>42</v>
      </c>
      <c r="E474" s="1" t="s">
        <v>43</v>
      </c>
      <c r="F474" s="1" t="s">
        <v>44</v>
      </c>
      <c r="G474" s="1" t="s">
        <v>29</v>
      </c>
      <c r="H474" s="1" t="s">
        <v>65</v>
      </c>
      <c r="I474" s="1" t="s">
        <v>31</v>
      </c>
      <c r="J474" s="1" t="s">
        <v>32</v>
      </c>
      <c r="K474" s="1" t="s">
        <v>46</v>
      </c>
      <c r="L474" s="2">
        <v>45839</v>
      </c>
      <c r="M474" s="2">
        <v>45864</v>
      </c>
      <c r="N474">
        <v>1656549</v>
      </c>
      <c r="O474">
        <v>78421</v>
      </c>
      <c r="P474">
        <v>1578128</v>
      </c>
      <c r="Q474" s="1" t="s">
        <v>78</v>
      </c>
      <c r="R474" s="1" t="s">
        <v>109</v>
      </c>
      <c r="S474" s="1" t="s">
        <v>36</v>
      </c>
      <c r="T474" s="1" t="s">
        <v>37</v>
      </c>
      <c r="U474">
        <v>4.7</v>
      </c>
      <c r="V474" t="s">
        <v>38</v>
      </c>
      <c r="W474">
        <v>7</v>
      </c>
      <c r="X474" s="1" t="s">
        <v>39</v>
      </c>
    </row>
    <row r="475" spans="1:24" x14ac:dyDescent="0.55000000000000004">
      <c r="A475" s="1" t="s">
        <v>559</v>
      </c>
      <c r="B475" s="1" t="s">
        <v>83</v>
      </c>
      <c r="C475">
        <v>45</v>
      </c>
      <c r="D475" s="1" t="s">
        <v>26</v>
      </c>
      <c r="E475" s="1" t="s">
        <v>43</v>
      </c>
      <c r="F475" s="1" t="s">
        <v>44</v>
      </c>
      <c r="G475" s="1" t="s">
        <v>29</v>
      </c>
      <c r="H475" s="1" t="s">
        <v>65</v>
      </c>
      <c r="I475" s="1" t="s">
        <v>53</v>
      </c>
      <c r="J475" s="1" t="s">
        <v>32</v>
      </c>
      <c r="K475" s="1" t="s">
        <v>33</v>
      </c>
      <c r="L475" s="2">
        <v>45881</v>
      </c>
      <c r="M475" s="2">
        <v>45918</v>
      </c>
      <c r="N475">
        <v>1455287</v>
      </c>
      <c r="O475">
        <v>10767</v>
      </c>
      <c r="P475">
        <v>1444520</v>
      </c>
      <c r="Q475" s="1" t="s">
        <v>66</v>
      </c>
      <c r="R475" s="1" t="s">
        <v>48</v>
      </c>
      <c r="S475" s="1" t="s">
        <v>36</v>
      </c>
      <c r="T475" s="1" t="s">
        <v>37</v>
      </c>
      <c r="U475">
        <v>4.5</v>
      </c>
      <c r="V475" t="s">
        <v>38</v>
      </c>
      <c r="W475">
        <v>9</v>
      </c>
      <c r="X475" s="1" t="s">
        <v>103</v>
      </c>
    </row>
    <row r="476" spans="1:24" x14ac:dyDescent="0.55000000000000004">
      <c r="A476" s="1" t="s">
        <v>560</v>
      </c>
      <c r="B476" s="1" t="s">
        <v>98</v>
      </c>
      <c r="C476">
        <v>24</v>
      </c>
      <c r="D476" s="1" t="s">
        <v>42</v>
      </c>
      <c r="E476" s="1" t="s">
        <v>71</v>
      </c>
      <c r="F476" s="1" t="s">
        <v>72</v>
      </c>
      <c r="G476" s="1" t="s">
        <v>29</v>
      </c>
      <c r="H476" s="1" t="s">
        <v>65</v>
      </c>
      <c r="I476" s="1" t="s">
        <v>53</v>
      </c>
      <c r="J476" s="1" t="s">
        <v>54</v>
      </c>
      <c r="K476" s="1" t="s">
        <v>33</v>
      </c>
      <c r="L476" s="2">
        <v>45844</v>
      </c>
      <c r="M476" s="2">
        <v>45857</v>
      </c>
      <c r="N476">
        <v>1406030</v>
      </c>
      <c r="O476">
        <v>88478</v>
      </c>
      <c r="P476">
        <v>1317552</v>
      </c>
      <c r="Q476" s="1" t="s">
        <v>66</v>
      </c>
      <c r="R476" s="1" t="s">
        <v>67</v>
      </c>
      <c r="S476" s="1" t="s">
        <v>37</v>
      </c>
      <c r="T476" s="1" t="s">
        <v>37</v>
      </c>
      <c r="U476">
        <v>4.8</v>
      </c>
      <c r="V476" t="s">
        <v>56</v>
      </c>
      <c r="W476">
        <v>7</v>
      </c>
      <c r="X476" s="1" t="s">
        <v>39</v>
      </c>
    </row>
    <row r="477" spans="1:24" x14ac:dyDescent="0.55000000000000004">
      <c r="A477" s="1" t="s">
        <v>561</v>
      </c>
      <c r="B477" s="1" t="s">
        <v>83</v>
      </c>
      <c r="C477">
        <v>24</v>
      </c>
      <c r="D477" s="1" t="s">
        <v>42</v>
      </c>
      <c r="E477" s="1" t="s">
        <v>43</v>
      </c>
      <c r="F477" s="1" t="s">
        <v>44</v>
      </c>
      <c r="G477" s="1" t="s">
        <v>29</v>
      </c>
      <c r="H477" s="1" t="s">
        <v>30</v>
      </c>
      <c r="I477" s="1" t="s">
        <v>59</v>
      </c>
      <c r="J477" s="1" t="s">
        <v>32</v>
      </c>
      <c r="K477" s="1" t="s">
        <v>46</v>
      </c>
      <c r="L477" s="2">
        <v>45981</v>
      </c>
      <c r="M477" s="2">
        <v>46010</v>
      </c>
      <c r="N477">
        <v>1676101</v>
      </c>
      <c r="O477">
        <v>66772</v>
      </c>
      <c r="P477">
        <v>1609329</v>
      </c>
      <c r="Q477" s="1" t="s">
        <v>78</v>
      </c>
      <c r="R477" s="1" t="s">
        <v>48</v>
      </c>
      <c r="S477" s="1" t="s">
        <v>37</v>
      </c>
      <c r="T477" s="1" t="s">
        <v>37</v>
      </c>
      <c r="U477">
        <v>4.9000000000000004</v>
      </c>
      <c r="V477" t="s">
        <v>38</v>
      </c>
      <c r="W477">
        <v>12</v>
      </c>
      <c r="X477" s="1" t="s">
        <v>49</v>
      </c>
    </row>
    <row r="478" spans="1:24" x14ac:dyDescent="0.55000000000000004">
      <c r="A478" s="1" t="s">
        <v>562</v>
      </c>
      <c r="B478" s="1" t="s">
        <v>93</v>
      </c>
      <c r="C478">
        <v>51</v>
      </c>
      <c r="D478" s="1" t="s">
        <v>26</v>
      </c>
      <c r="E478" s="1" t="s">
        <v>84</v>
      </c>
      <c r="F478" s="1" t="s">
        <v>85</v>
      </c>
      <c r="G478" s="1" t="s">
        <v>29</v>
      </c>
      <c r="H478" s="1" t="s">
        <v>30</v>
      </c>
      <c r="I478" s="1" t="s">
        <v>45</v>
      </c>
      <c r="J478" s="1" t="s">
        <v>32</v>
      </c>
      <c r="K478" s="1" t="s">
        <v>46</v>
      </c>
      <c r="L478" s="2">
        <v>46082</v>
      </c>
      <c r="M478" s="2">
        <v>46119</v>
      </c>
      <c r="N478">
        <v>1884928</v>
      </c>
      <c r="O478">
        <v>99189</v>
      </c>
      <c r="P478">
        <v>1785739</v>
      </c>
      <c r="Q478" s="1" t="s">
        <v>78</v>
      </c>
      <c r="R478" s="1" t="s">
        <v>79</v>
      </c>
      <c r="S478" s="1" t="s">
        <v>37</v>
      </c>
      <c r="T478" s="1" t="s">
        <v>36</v>
      </c>
      <c r="U478">
        <v>3.2</v>
      </c>
      <c r="V478" t="s">
        <v>38</v>
      </c>
      <c r="W478">
        <v>4</v>
      </c>
      <c r="X478" s="1" t="s">
        <v>63</v>
      </c>
    </row>
    <row r="479" spans="1:24" x14ac:dyDescent="0.55000000000000004">
      <c r="A479" s="1" t="s">
        <v>563</v>
      </c>
      <c r="B479" s="1" t="s">
        <v>70</v>
      </c>
      <c r="C479">
        <v>22</v>
      </c>
      <c r="D479" s="1" t="s">
        <v>42</v>
      </c>
      <c r="E479" s="1" t="s">
        <v>27</v>
      </c>
      <c r="F479" s="1" t="s">
        <v>28</v>
      </c>
      <c r="G479" s="1" t="s">
        <v>29</v>
      </c>
      <c r="H479" s="1" t="s">
        <v>65</v>
      </c>
      <c r="I479" s="1" t="s">
        <v>31</v>
      </c>
      <c r="J479" s="1" t="s">
        <v>32</v>
      </c>
      <c r="K479" s="1" t="s">
        <v>33</v>
      </c>
      <c r="L479" s="2">
        <v>45717</v>
      </c>
      <c r="M479" s="2">
        <v>45760</v>
      </c>
      <c r="N479">
        <v>1553024</v>
      </c>
      <c r="O479">
        <v>73520</v>
      </c>
      <c r="P479">
        <v>1479504</v>
      </c>
      <c r="Q479" s="1" t="s">
        <v>34</v>
      </c>
      <c r="R479" s="1" t="s">
        <v>109</v>
      </c>
      <c r="S479" s="1" t="s">
        <v>36</v>
      </c>
      <c r="T479" s="1" t="s">
        <v>36</v>
      </c>
      <c r="U479">
        <v>3.5</v>
      </c>
      <c r="V479" t="s">
        <v>38</v>
      </c>
      <c r="W479">
        <v>4</v>
      </c>
      <c r="X479" s="1" t="s">
        <v>63</v>
      </c>
    </row>
    <row r="480" spans="1:24" x14ac:dyDescent="0.55000000000000004">
      <c r="A480" s="1" t="s">
        <v>564</v>
      </c>
      <c r="B480" s="1" t="s">
        <v>70</v>
      </c>
      <c r="C480">
        <v>30</v>
      </c>
      <c r="D480" s="1" t="s">
        <v>26</v>
      </c>
      <c r="E480" s="1" t="s">
        <v>90</v>
      </c>
      <c r="F480" s="1" t="s">
        <v>44</v>
      </c>
      <c r="G480" s="1" t="s">
        <v>29</v>
      </c>
      <c r="H480" s="1" t="s">
        <v>65</v>
      </c>
      <c r="I480" s="1" t="s">
        <v>53</v>
      </c>
      <c r="J480" s="1" t="s">
        <v>54</v>
      </c>
      <c r="K480" s="1" t="s">
        <v>33</v>
      </c>
      <c r="L480" s="2">
        <v>45679</v>
      </c>
      <c r="M480" s="2">
        <v>45706</v>
      </c>
      <c r="N480">
        <v>1583222</v>
      </c>
      <c r="O480">
        <v>88451</v>
      </c>
      <c r="P480">
        <v>1494771</v>
      </c>
      <c r="Q480" s="1" t="s">
        <v>66</v>
      </c>
      <c r="R480" s="1" t="s">
        <v>79</v>
      </c>
      <c r="S480" s="1" t="s">
        <v>37</v>
      </c>
      <c r="T480" s="1" t="s">
        <v>37</v>
      </c>
      <c r="U480">
        <v>4.7</v>
      </c>
      <c r="V480" t="s">
        <v>38</v>
      </c>
      <c r="W480">
        <v>2</v>
      </c>
      <c r="X480" s="1" t="s">
        <v>107</v>
      </c>
    </row>
    <row r="481" spans="1:24" x14ac:dyDescent="0.55000000000000004">
      <c r="A481" s="1" t="s">
        <v>565</v>
      </c>
      <c r="B481" s="1" t="s">
        <v>105</v>
      </c>
      <c r="C481">
        <v>30</v>
      </c>
      <c r="D481" s="1" t="s">
        <v>42</v>
      </c>
      <c r="E481" s="1" t="s">
        <v>43</v>
      </c>
      <c r="F481" s="1" t="s">
        <v>44</v>
      </c>
      <c r="G481" s="1" t="s">
        <v>29</v>
      </c>
      <c r="H481" s="1" t="s">
        <v>30</v>
      </c>
      <c r="I481" s="1" t="s">
        <v>53</v>
      </c>
      <c r="J481" s="1" t="s">
        <v>32</v>
      </c>
      <c r="K481" s="1" t="s">
        <v>46</v>
      </c>
      <c r="L481" s="2">
        <v>45742</v>
      </c>
      <c r="M481" s="2">
        <v>45782</v>
      </c>
      <c r="N481">
        <v>1445354</v>
      </c>
      <c r="O481">
        <v>96781</v>
      </c>
      <c r="P481">
        <v>1348573</v>
      </c>
      <c r="Q481" s="1" t="s">
        <v>78</v>
      </c>
      <c r="R481" s="1" t="s">
        <v>35</v>
      </c>
      <c r="S481" s="1" t="s">
        <v>36</v>
      </c>
      <c r="T481" s="1" t="s">
        <v>37</v>
      </c>
      <c r="U481">
        <v>4.2</v>
      </c>
      <c r="V481" t="s">
        <v>38</v>
      </c>
      <c r="W481">
        <v>5</v>
      </c>
      <c r="X481" s="1" t="s">
        <v>86</v>
      </c>
    </row>
    <row r="482" spans="1:24" x14ac:dyDescent="0.55000000000000004">
      <c r="A482" s="1" t="s">
        <v>566</v>
      </c>
      <c r="B482" s="1" t="s">
        <v>62</v>
      </c>
      <c r="C482">
        <v>47</v>
      </c>
      <c r="D482" s="1" t="s">
        <v>26</v>
      </c>
      <c r="E482" s="1" t="s">
        <v>84</v>
      </c>
      <c r="F482" s="1" t="s">
        <v>85</v>
      </c>
      <c r="G482" s="1" t="s">
        <v>29</v>
      </c>
      <c r="H482" s="1" t="s">
        <v>77</v>
      </c>
      <c r="I482" s="1" t="s">
        <v>45</v>
      </c>
      <c r="J482" s="1" t="s">
        <v>32</v>
      </c>
      <c r="K482" s="1" t="s">
        <v>46</v>
      </c>
      <c r="L482" s="2">
        <v>46105</v>
      </c>
      <c r="M482" s="2">
        <v>46128</v>
      </c>
      <c r="N482">
        <v>1366639</v>
      </c>
      <c r="O482">
        <v>52321</v>
      </c>
      <c r="P482">
        <v>1314318</v>
      </c>
      <c r="Q482" s="1" t="s">
        <v>66</v>
      </c>
      <c r="R482" s="1" t="s">
        <v>35</v>
      </c>
      <c r="S482" s="1" t="s">
        <v>37</v>
      </c>
      <c r="T482" s="1" t="s">
        <v>36</v>
      </c>
      <c r="U482">
        <v>4.2</v>
      </c>
      <c r="V482" t="s">
        <v>38</v>
      </c>
      <c r="W482">
        <v>4</v>
      </c>
      <c r="X482" s="1" t="s">
        <v>63</v>
      </c>
    </row>
    <row r="483" spans="1:24" x14ac:dyDescent="0.55000000000000004">
      <c r="A483" s="1" t="s">
        <v>567</v>
      </c>
      <c r="B483" s="1" t="s">
        <v>51</v>
      </c>
      <c r="C483">
        <v>31</v>
      </c>
      <c r="D483" s="1" t="s">
        <v>42</v>
      </c>
      <c r="E483" s="1" t="s">
        <v>43</v>
      </c>
      <c r="F483" s="1" t="s">
        <v>44</v>
      </c>
      <c r="G483" s="1" t="s">
        <v>29</v>
      </c>
      <c r="H483" s="1" t="s">
        <v>30</v>
      </c>
      <c r="I483" s="1" t="s">
        <v>53</v>
      </c>
      <c r="J483" s="1" t="s">
        <v>32</v>
      </c>
      <c r="K483" s="1" t="s">
        <v>33</v>
      </c>
      <c r="L483" s="2">
        <v>45741</v>
      </c>
      <c r="M483" s="2">
        <v>45757</v>
      </c>
      <c r="N483">
        <v>1681619</v>
      </c>
      <c r="O483">
        <v>46241</v>
      </c>
      <c r="P483">
        <v>1635378</v>
      </c>
      <c r="Q483" s="1" t="s">
        <v>78</v>
      </c>
      <c r="R483" s="1" t="s">
        <v>79</v>
      </c>
      <c r="S483" s="1" t="s">
        <v>36</v>
      </c>
      <c r="T483" s="1" t="s">
        <v>37</v>
      </c>
      <c r="U483">
        <v>4.5999999999999996</v>
      </c>
      <c r="V483" t="s">
        <v>56</v>
      </c>
      <c r="W483">
        <v>4</v>
      </c>
      <c r="X483" s="1" t="s">
        <v>63</v>
      </c>
    </row>
    <row r="484" spans="1:24" x14ac:dyDescent="0.55000000000000004">
      <c r="A484" s="1" t="s">
        <v>568</v>
      </c>
      <c r="B484" s="1" t="s">
        <v>81</v>
      </c>
      <c r="C484">
        <v>46</v>
      </c>
      <c r="D484" s="1" t="s">
        <v>42</v>
      </c>
      <c r="E484" s="1" t="s">
        <v>43</v>
      </c>
      <c r="F484" s="1" t="s">
        <v>44</v>
      </c>
      <c r="G484" s="1" t="s">
        <v>29</v>
      </c>
      <c r="H484" s="1" t="s">
        <v>77</v>
      </c>
      <c r="I484" s="1" t="s">
        <v>31</v>
      </c>
      <c r="J484" s="1" t="s">
        <v>54</v>
      </c>
      <c r="K484" s="1" t="s">
        <v>33</v>
      </c>
      <c r="L484" s="2">
        <v>46158</v>
      </c>
      <c r="M484" s="2">
        <v>46186</v>
      </c>
      <c r="N484">
        <v>1833359</v>
      </c>
      <c r="O484">
        <v>51427</v>
      </c>
      <c r="P484">
        <v>1781932</v>
      </c>
      <c r="Q484" s="1" t="s">
        <v>66</v>
      </c>
      <c r="R484" s="1" t="s">
        <v>48</v>
      </c>
      <c r="S484" s="1" t="s">
        <v>37</v>
      </c>
      <c r="T484" s="1" t="s">
        <v>36</v>
      </c>
      <c r="U484">
        <v>3.7</v>
      </c>
      <c r="V484" t="s">
        <v>38</v>
      </c>
      <c r="W484">
        <v>6</v>
      </c>
      <c r="X484" s="1" t="s">
        <v>68</v>
      </c>
    </row>
    <row r="485" spans="1:24" x14ac:dyDescent="0.55000000000000004">
      <c r="A485" s="1" t="s">
        <v>569</v>
      </c>
      <c r="B485" s="1" t="s">
        <v>83</v>
      </c>
      <c r="C485">
        <v>52</v>
      </c>
      <c r="D485" s="1" t="s">
        <v>42</v>
      </c>
      <c r="E485" s="1" t="s">
        <v>27</v>
      </c>
      <c r="F485" s="1" t="s">
        <v>28</v>
      </c>
      <c r="G485" s="1" t="s">
        <v>29</v>
      </c>
      <c r="H485" s="1" t="s">
        <v>30</v>
      </c>
      <c r="I485" s="1" t="s">
        <v>45</v>
      </c>
      <c r="J485" s="1" t="s">
        <v>54</v>
      </c>
      <c r="K485" s="1" t="s">
        <v>33</v>
      </c>
      <c r="L485" s="2">
        <v>45808</v>
      </c>
      <c r="M485" s="2">
        <v>45847</v>
      </c>
      <c r="N485">
        <v>1863252</v>
      </c>
      <c r="O485">
        <v>91150</v>
      </c>
      <c r="P485">
        <v>1772102</v>
      </c>
      <c r="Q485" s="1" t="s">
        <v>78</v>
      </c>
      <c r="R485" s="1" t="s">
        <v>79</v>
      </c>
      <c r="S485" s="1" t="s">
        <v>36</v>
      </c>
      <c r="T485" s="1" t="s">
        <v>36</v>
      </c>
      <c r="U485">
        <v>4.8</v>
      </c>
      <c r="V485" t="s">
        <v>38</v>
      </c>
      <c r="W485">
        <v>7</v>
      </c>
      <c r="X485" s="1" t="s">
        <v>39</v>
      </c>
    </row>
    <row r="486" spans="1:24" x14ac:dyDescent="0.55000000000000004">
      <c r="A486" s="1" t="s">
        <v>570</v>
      </c>
      <c r="B486" s="1" t="s">
        <v>41</v>
      </c>
      <c r="C486">
        <v>35</v>
      </c>
      <c r="D486" s="1" t="s">
        <v>42</v>
      </c>
      <c r="E486" s="1" t="s">
        <v>43</v>
      </c>
      <c r="F486" s="1" t="s">
        <v>44</v>
      </c>
      <c r="G486" s="1" t="s">
        <v>29</v>
      </c>
      <c r="H486" s="1" t="s">
        <v>30</v>
      </c>
      <c r="I486" s="1" t="s">
        <v>45</v>
      </c>
      <c r="J486" s="1" t="s">
        <v>54</v>
      </c>
      <c r="K486" s="1" t="s">
        <v>33</v>
      </c>
      <c r="L486" s="2">
        <v>45896</v>
      </c>
      <c r="M486" s="2">
        <v>45939</v>
      </c>
      <c r="N486">
        <v>1303185</v>
      </c>
      <c r="O486">
        <v>12101</v>
      </c>
      <c r="P486">
        <v>1291084</v>
      </c>
      <c r="Q486" s="1" t="s">
        <v>34</v>
      </c>
      <c r="R486" s="1" t="s">
        <v>109</v>
      </c>
      <c r="S486" s="1" t="s">
        <v>37</v>
      </c>
      <c r="T486" s="1" t="s">
        <v>36</v>
      </c>
      <c r="U486">
        <v>3.3</v>
      </c>
      <c r="V486" t="s">
        <v>38</v>
      </c>
      <c r="W486">
        <v>10</v>
      </c>
      <c r="X486" s="1" t="s">
        <v>75</v>
      </c>
    </row>
    <row r="487" spans="1:24" x14ac:dyDescent="0.55000000000000004">
      <c r="A487" s="1" t="s">
        <v>571</v>
      </c>
      <c r="B487" s="1" t="s">
        <v>41</v>
      </c>
      <c r="C487">
        <v>47</v>
      </c>
      <c r="D487" s="1" t="s">
        <v>42</v>
      </c>
      <c r="E487" s="1" t="s">
        <v>90</v>
      </c>
      <c r="F487" s="1" t="s">
        <v>44</v>
      </c>
      <c r="G487" s="1" t="s">
        <v>29</v>
      </c>
      <c r="H487" s="1" t="s">
        <v>65</v>
      </c>
      <c r="I487" s="1" t="s">
        <v>31</v>
      </c>
      <c r="J487" s="1" t="s">
        <v>54</v>
      </c>
      <c r="K487" s="1" t="s">
        <v>33</v>
      </c>
      <c r="L487" s="2">
        <v>45913</v>
      </c>
      <c r="M487" s="2">
        <v>45954</v>
      </c>
      <c r="N487">
        <v>1873892</v>
      </c>
      <c r="O487">
        <v>12531</v>
      </c>
      <c r="P487">
        <v>1861361</v>
      </c>
      <c r="Q487" s="1" t="s">
        <v>34</v>
      </c>
      <c r="R487" s="1" t="s">
        <v>67</v>
      </c>
      <c r="S487" s="1" t="s">
        <v>37</v>
      </c>
      <c r="T487" s="1" t="s">
        <v>36</v>
      </c>
      <c r="U487">
        <v>4.2</v>
      </c>
      <c r="V487" t="s">
        <v>38</v>
      </c>
      <c r="W487">
        <v>10</v>
      </c>
      <c r="X487" s="1" t="s">
        <v>75</v>
      </c>
    </row>
    <row r="488" spans="1:24" x14ac:dyDescent="0.55000000000000004">
      <c r="A488" s="1" t="s">
        <v>572</v>
      </c>
      <c r="B488" s="1" t="s">
        <v>98</v>
      </c>
      <c r="C488">
        <v>39</v>
      </c>
      <c r="D488" s="1" t="s">
        <v>26</v>
      </c>
      <c r="E488" s="1" t="s">
        <v>71</v>
      </c>
      <c r="F488" s="1" t="s">
        <v>72</v>
      </c>
      <c r="G488" s="1" t="s">
        <v>29</v>
      </c>
      <c r="H488" s="1" t="s">
        <v>30</v>
      </c>
      <c r="I488" s="1" t="s">
        <v>31</v>
      </c>
      <c r="J488" s="1" t="s">
        <v>32</v>
      </c>
      <c r="K488" s="1" t="s">
        <v>33</v>
      </c>
      <c r="L488" s="2">
        <v>46136</v>
      </c>
      <c r="M488" s="2">
        <v>46161</v>
      </c>
      <c r="N488">
        <v>1327684</v>
      </c>
      <c r="O488">
        <v>27247</v>
      </c>
      <c r="P488">
        <v>1300437</v>
      </c>
      <c r="Q488" s="1" t="s">
        <v>66</v>
      </c>
      <c r="R488" s="1" t="s">
        <v>48</v>
      </c>
      <c r="S488" s="1" t="s">
        <v>36</v>
      </c>
      <c r="T488" s="1" t="s">
        <v>37</v>
      </c>
      <c r="U488">
        <v>4.4000000000000004</v>
      </c>
      <c r="V488" t="s">
        <v>38</v>
      </c>
      <c r="W488">
        <v>5</v>
      </c>
      <c r="X488" s="1" t="s">
        <v>86</v>
      </c>
    </row>
    <row r="489" spans="1:24" x14ac:dyDescent="0.55000000000000004">
      <c r="A489" s="1" t="s">
        <v>573</v>
      </c>
      <c r="B489" s="1" t="s">
        <v>62</v>
      </c>
      <c r="C489">
        <v>39</v>
      </c>
      <c r="D489" s="1" t="s">
        <v>26</v>
      </c>
      <c r="E489" s="1" t="s">
        <v>84</v>
      </c>
      <c r="F489" s="1" t="s">
        <v>85</v>
      </c>
      <c r="G489" s="1" t="s">
        <v>29</v>
      </c>
      <c r="H489" s="1" t="s">
        <v>30</v>
      </c>
      <c r="I489" s="1" t="s">
        <v>53</v>
      </c>
      <c r="J489" s="1" t="s">
        <v>54</v>
      </c>
      <c r="K489" s="1" t="s">
        <v>46</v>
      </c>
      <c r="L489" s="2">
        <v>45785</v>
      </c>
      <c r="M489" s="2">
        <v>45818</v>
      </c>
      <c r="N489">
        <v>1805203</v>
      </c>
      <c r="O489">
        <v>79673</v>
      </c>
      <c r="P489">
        <v>1725530</v>
      </c>
      <c r="Q489" s="1" t="s">
        <v>34</v>
      </c>
      <c r="R489" s="1" t="s">
        <v>48</v>
      </c>
      <c r="S489" s="1" t="s">
        <v>36</v>
      </c>
      <c r="T489" s="1" t="s">
        <v>37</v>
      </c>
      <c r="U489">
        <v>3.1</v>
      </c>
      <c r="V489" t="s">
        <v>38</v>
      </c>
      <c r="W489">
        <v>6</v>
      </c>
      <c r="X489" s="1" t="s">
        <v>68</v>
      </c>
    </row>
    <row r="490" spans="1:24" x14ac:dyDescent="0.55000000000000004">
      <c r="A490" s="1" t="s">
        <v>574</v>
      </c>
      <c r="B490" s="1" t="s">
        <v>98</v>
      </c>
      <c r="C490">
        <v>44</v>
      </c>
      <c r="D490" s="1" t="s">
        <v>42</v>
      </c>
      <c r="E490" s="1" t="s">
        <v>71</v>
      </c>
      <c r="F490" s="1" t="s">
        <v>72</v>
      </c>
      <c r="G490" s="1" t="s">
        <v>29</v>
      </c>
      <c r="H490" s="1" t="s">
        <v>30</v>
      </c>
      <c r="I490" s="1" t="s">
        <v>59</v>
      </c>
      <c r="J490" s="1" t="s">
        <v>32</v>
      </c>
      <c r="K490" s="1" t="s">
        <v>33</v>
      </c>
      <c r="L490" s="2">
        <v>45903</v>
      </c>
      <c r="M490" s="2">
        <v>45926</v>
      </c>
      <c r="N490">
        <v>1781997</v>
      </c>
      <c r="O490">
        <v>29800</v>
      </c>
      <c r="P490">
        <v>1752197</v>
      </c>
      <c r="Q490" s="1" t="s">
        <v>78</v>
      </c>
      <c r="R490" s="1" t="s">
        <v>67</v>
      </c>
      <c r="S490" s="1" t="s">
        <v>37</v>
      </c>
      <c r="T490" s="1" t="s">
        <v>36</v>
      </c>
      <c r="U490">
        <v>3.7</v>
      </c>
      <c r="V490" t="s">
        <v>38</v>
      </c>
      <c r="W490">
        <v>9</v>
      </c>
      <c r="X490" s="1" t="s">
        <v>103</v>
      </c>
    </row>
    <row r="491" spans="1:24" x14ac:dyDescent="0.55000000000000004">
      <c r="A491" s="1" t="s">
        <v>575</v>
      </c>
      <c r="B491" s="1" t="s">
        <v>41</v>
      </c>
      <c r="C491">
        <v>50</v>
      </c>
      <c r="D491" s="1" t="s">
        <v>42</v>
      </c>
      <c r="E491" s="1" t="s">
        <v>71</v>
      </c>
      <c r="F491" s="1" t="s">
        <v>72</v>
      </c>
      <c r="G491" s="1" t="s">
        <v>29</v>
      </c>
      <c r="H491" s="1" t="s">
        <v>77</v>
      </c>
      <c r="I491" s="1" t="s">
        <v>53</v>
      </c>
      <c r="J491" s="1" t="s">
        <v>54</v>
      </c>
      <c r="K491" s="1" t="s">
        <v>33</v>
      </c>
      <c r="L491" s="2">
        <v>45700</v>
      </c>
      <c r="M491" s="2">
        <v>45730</v>
      </c>
      <c r="N491">
        <v>1552121</v>
      </c>
      <c r="O491">
        <v>51747</v>
      </c>
      <c r="P491">
        <v>1500374</v>
      </c>
      <c r="Q491" s="1" t="s">
        <v>55</v>
      </c>
      <c r="R491" s="1" t="s">
        <v>67</v>
      </c>
      <c r="S491" s="1" t="s">
        <v>36</v>
      </c>
      <c r="T491" s="1" t="s">
        <v>37</v>
      </c>
      <c r="U491">
        <v>3.3</v>
      </c>
      <c r="V491" t="s">
        <v>38</v>
      </c>
      <c r="W491">
        <v>3</v>
      </c>
      <c r="X491" s="1" t="s">
        <v>96</v>
      </c>
    </row>
    <row r="492" spans="1:24" x14ac:dyDescent="0.55000000000000004">
      <c r="A492" s="1" t="s">
        <v>576</v>
      </c>
      <c r="B492" s="1" t="s">
        <v>70</v>
      </c>
      <c r="C492">
        <v>50</v>
      </c>
      <c r="D492" s="1" t="s">
        <v>26</v>
      </c>
      <c r="E492" s="1" t="s">
        <v>71</v>
      </c>
      <c r="F492" s="1" t="s">
        <v>72</v>
      </c>
      <c r="G492" s="1" t="s">
        <v>29</v>
      </c>
      <c r="H492" s="1" t="s">
        <v>65</v>
      </c>
      <c r="I492" s="1" t="s">
        <v>45</v>
      </c>
      <c r="J492" s="1" t="s">
        <v>32</v>
      </c>
      <c r="K492" s="1" t="s">
        <v>33</v>
      </c>
      <c r="L492" s="2">
        <v>45702</v>
      </c>
      <c r="M492" s="2">
        <v>45743</v>
      </c>
      <c r="N492">
        <v>1519571</v>
      </c>
      <c r="O492">
        <v>52203</v>
      </c>
      <c r="P492">
        <v>1467368</v>
      </c>
      <c r="Q492" s="1" t="s">
        <v>55</v>
      </c>
      <c r="R492" s="1" t="s">
        <v>67</v>
      </c>
      <c r="S492" s="1" t="s">
        <v>36</v>
      </c>
      <c r="T492" s="1" t="s">
        <v>36</v>
      </c>
      <c r="U492">
        <v>3.7</v>
      </c>
      <c r="V492" t="s">
        <v>38</v>
      </c>
      <c r="W492">
        <v>3</v>
      </c>
      <c r="X492" s="1" t="s">
        <v>96</v>
      </c>
    </row>
    <row r="493" spans="1:24" x14ac:dyDescent="0.55000000000000004">
      <c r="A493" s="1" t="s">
        <v>577</v>
      </c>
      <c r="B493" s="1" t="s">
        <v>98</v>
      </c>
      <c r="C493">
        <v>28</v>
      </c>
      <c r="D493" s="1" t="s">
        <v>42</v>
      </c>
      <c r="E493" s="1" t="s">
        <v>84</v>
      </c>
      <c r="F493" s="1" t="s">
        <v>85</v>
      </c>
      <c r="G493" s="1" t="s">
        <v>29</v>
      </c>
      <c r="H493" s="1" t="s">
        <v>65</v>
      </c>
      <c r="I493" s="1" t="s">
        <v>74</v>
      </c>
      <c r="J493" s="1" t="s">
        <v>54</v>
      </c>
      <c r="K493" s="1" t="s">
        <v>33</v>
      </c>
      <c r="L493" s="2">
        <v>45774</v>
      </c>
      <c r="M493" s="2">
        <v>45804</v>
      </c>
      <c r="N493">
        <v>1643071</v>
      </c>
      <c r="O493">
        <v>20303</v>
      </c>
      <c r="P493">
        <v>1622768</v>
      </c>
      <c r="Q493" s="1" t="s">
        <v>66</v>
      </c>
      <c r="R493" s="1" t="s">
        <v>48</v>
      </c>
      <c r="S493" s="1" t="s">
        <v>37</v>
      </c>
      <c r="T493" s="1" t="s">
        <v>36</v>
      </c>
      <c r="U493">
        <v>4.5</v>
      </c>
      <c r="V493" t="s">
        <v>38</v>
      </c>
      <c r="W493">
        <v>5</v>
      </c>
      <c r="X493" s="1" t="s">
        <v>86</v>
      </c>
    </row>
    <row r="494" spans="1:24" x14ac:dyDescent="0.55000000000000004">
      <c r="A494" s="1" t="s">
        <v>578</v>
      </c>
      <c r="B494" s="1" t="s">
        <v>93</v>
      </c>
      <c r="C494">
        <v>54</v>
      </c>
      <c r="D494" s="1" t="s">
        <v>26</v>
      </c>
      <c r="E494" s="1" t="s">
        <v>84</v>
      </c>
      <c r="F494" s="1" t="s">
        <v>85</v>
      </c>
      <c r="G494" s="1" t="s">
        <v>29</v>
      </c>
      <c r="H494" s="1" t="s">
        <v>30</v>
      </c>
      <c r="I494" s="1" t="s">
        <v>74</v>
      </c>
      <c r="J494" s="1" t="s">
        <v>54</v>
      </c>
      <c r="K494" s="1" t="s">
        <v>46</v>
      </c>
      <c r="L494" s="2">
        <v>45729</v>
      </c>
      <c r="M494" s="2">
        <v>45741</v>
      </c>
      <c r="N494">
        <v>1580262</v>
      </c>
      <c r="O494">
        <v>89093</v>
      </c>
      <c r="P494">
        <v>1491169</v>
      </c>
      <c r="Q494" s="1" t="s">
        <v>47</v>
      </c>
      <c r="R494" s="1" t="s">
        <v>48</v>
      </c>
      <c r="S494" s="1" t="s">
        <v>37</v>
      </c>
      <c r="T494" s="1" t="s">
        <v>36</v>
      </c>
      <c r="U494">
        <v>3.8</v>
      </c>
      <c r="V494" t="s">
        <v>56</v>
      </c>
      <c r="W494">
        <v>3</v>
      </c>
      <c r="X494" s="1" t="s">
        <v>96</v>
      </c>
    </row>
    <row r="495" spans="1:24" x14ac:dyDescent="0.55000000000000004">
      <c r="A495" s="1" t="s">
        <v>579</v>
      </c>
      <c r="B495" s="1" t="s">
        <v>25</v>
      </c>
      <c r="C495">
        <v>37</v>
      </c>
      <c r="D495" s="1" t="s">
        <v>26</v>
      </c>
      <c r="E495" s="1" t="s">
        <v>43</v>
      </c>
      <c r="F495" s="1" t="s">
        <v>44</v>
      </c>
      <c r="G495" s="1" t="s">
        <v>29</v>
      </c>
      <c r="H495" s="1" t="s">
        <v>30</v>
      </c>
      <c r="I495" s="1" t="s">
        <v>31</v>
      </c>
      <c r="J495" s="1" t="s">
        <v>32</v>
      </c>
      <c r="K495" s="1" t="s">
        <v>46</v>
      </c>
      <c r="L495" s="2">
        <v>45781</v>
      </c>
      <c r="M495" s="2">
        <v>45816</v>
      </c>
      <c r="N495">
        <v>1807888</v>
      </c>
      <c r="O495">
        <v>52565</v>
      </c>
      <c r="P495">
        <v>1755323</v>
      </c>
      <c r="Q495" s="1" t="s">
        <v>78</v>
      </c>
      <c r="R495" s="1" t="s">
        <v>67</v>
      </c>
      <c r="S495" s="1" t="s">
        <v>36</v>
      </c>
      <c r="T495" s="1" t="s">
        <v>36</v>
      </c>
      <c r="U495">
        <v>4.9000000000000004</v>
      </c>
      <c r="V495" t="s">
        <v>38</v>
      </c>
      <c r="W495">
        <v>6</v>
      </c>
      <c r="X495" s="1" t="s">
        <v>68</v>
      </c>
    </row>
    <row r="496" spans="1:24" x14ac:dyDescent="0.55000000000000004">
      <c r="A496" s="1" t="s">
        <v>580</v>
      </c>
      <c r="B496" s="1" t="s">
        <v>93</v>
      </c>
      <c r="C496">
        <v>52</v>
      </c>
      <c r="D496" s="1" t="s">
        <v>42</v>
      </c>
      <c r="E496" s="1" t="s">
        <v>71</v>
      </c>
      <c r="F496" s="1" t="s">
        <v>72</v>
      </c>
      <c r="G496" s="1" t="s">
        <v>29</v>
      </c>
      <c r="H496" s="1" t="s">
        <v>65</v>
      </c>
      <c r="I496" s="1" t="s">
        <v>45</v>
      </c>
      <c r="J496" s="1" t="s">
        <v>54</v>
      </c>
      <c r="K496" s="1" t="s">
        <v>46</v>
      </c>
      <c r="L496" s="2">
        <v>46057</v>
      </c>
      <c r="M496" s="2">
        <v>46085</v>
      </c>
      <c r="N496">
        <v>1425515</v>
      </c>
      <c r="O496">
        <v>79079</v>
      </c>
      <c r="P496">
        <v>1346436</v>
      </c>
      <c r="Q496" s="1" t="s">
        <v>66</v>
      </c>
      <c r="R496" s="1" t="s">
        <v>109</v>
      </c>
      <c r="S496" s="1" t="s">
        <v>37</v>
      </c>
      <c r="T496" s="1" t="s">
        <v>37</v>
      </c>
      <c r="U496">
        <v>5</v>
      </c>
      <c r="V496" t="s">
        <v>38</v>
      </c>
      <c r="W496">
        <v>3</v>
      </c>
      <c r="X496" s="1" t="s">
        <v>96</v>
      </c>
    </row>
    <row r="497" spans="1:24" x14ac:dyDescent="0.55000000000000004">
      <c r="A497" s="1" t="s">
        <v>581</v>
      </c>
      <c r="B497" s="1" t="s">
        <v>98</v>
      </c>
      <c r="C497">
        <v>52</v>
      </c>
      <c r="D497" s="1" t="s">
        <v>26</v>
      </c>
      <c r="E497" s="1" t="s">
        <v>71</v>
      </c>
      <c r="F497" s="1" t="s">
        <v>72</v>
      </c>
      <c r="G497" s="1" t="s">
        <v>29</v>
      </c>
      <c r="H497" s="1" t="s">
        <v>30</v>
      </c>
      <c r="I497" s="1" t="s">
        <v>31</v>
      </c>
      <c r="J497" s="1" t="s">
        <v>32</v>
      </c>
      <c r="K497" s="1" t="s">
        <v>46</v>
      </c>
      <c r="L497" s="2">
        <v>46083</v>
      </c>
      <c r="M497" s="2">
        <v>46105</v>
      </c>
      <c r="N497">
        <v>1324913</v>
      </c>
      <c r="O497">
        <v>97268</v>
      </c>
      <c r="P497">
        <v>1227645</v>
      </c>
      <c r="Q497" s="1" t="s">
        <v>47</v>
      </c>
      <c r="R497" s="1" t="s">
        <v>48</v>
      </c>
      <c r="S497" s="1" t="s">
        <v>37</v>
      </c>
      <c r="T497" s="1" t="s">
        <v>37</v>
      </c>
      <c r="U497">
        <v>3.2</v>
      </c>
      <c r="V497" t="s">
        <v>38</v>
      </c>
      <c r="W497">
        <v>3</v>
      </c>
      <c r="X497" s="1" t="s">
        <v>96</v>
      </c>
    </row>
    <row r="498" spans="1:24" x14ac:dyDescent="0.55000000000000004">
      <c r="A498" s="1" t="s">
        <v>582</v>
      </c>
      <c r="B498" s="1" t="s">
        <v>41</v>
      </c>
      <c r="C498">
        <v>30</v>
      </c>
      <c r="D498" s="1" t="s">
        <v>26</v>
      </c>
      <c r="E498" s="1" t="s">
        <v>52</v>
      </c>
      <c r="F498" s="1" t="s">
        <v>44</v>
      </c>
      <c r="G498" s="1" t="s">
        <v>29</v>
      </c>
      <c r="H498" s="1" t="s">
        <v>77</v>
      </c>
      <c r="I498" s="1" t="s">
        <v>53</v>
      </c>
      <c r="J498" s="1" t="s">
        <v>32</v>
      </c>
      <c r="K498" s="1" t="s">
        <v>46</v>
      </c>
      <c r="L498" s="2">
        <v>45680</v>
      </c>
      <c r="M498" s="2">
        <v>45693</v>
      </c>
      <c r="N498">
        <v>1367950</v>
      </c>
      <c r="O498">
        <v>40115</v>
      </c>
      <c r="P498">
        <v>1327835</v>
      </c>
      <c r="Q498" s="1" t="s">
        <v>47</v>
      </c>
      <c r="R498" s="1" t="s">
        <v>67</v>
      </c>
      <c r="S498" s="1" t="s">
        <v>36</v>
      </c>
      <c r="T498" s="1" t="s">
        <v>37</v>
      </c>
      <c r="U498">
        <v>3.2</v>
      </c>
      <c r="V498" t="s">
        <v>56</v>
      </c>
      <c r="W498">
        <v>2</v>
      </c>
      <c r="X498" s="1" t="s">
        <v>107</v>
      </c>
    </row>
    <row r="499" spans="1:24" x14ac:dyDescent="0.55000000000000004">
      <c r="A499" s="1" t="s">
        <v>583</v>
      </c>
      <c r="B499" s="1" t="s">
        <v>41</v>
      </c>
      <c r="C499">
        <v>54</v>
      </c>
      <c r="D499" s="1" t="s">
        <v>42</v>
      </c>
      <c r="E499" s="1" t="s">
        <v>90</v>
      </c>
      <c r="F499" s="1" t="s">
        <v>44</v>
      </c>
      <c r="G499" s="1" t="s">
        <v>29</v>
      </c>
      <c r="H499" s="1" t="s">
        <v>65</v>
      </c>
      <c r="I499" s="1" t="s">
        <v>45</v>
      </c>
      <c r="J499" s="1" t="s">
        <v>32</v>
      </c>
      <c r="K499" s="1" t="s">
        <v>46</v>
      </c>
      <c r="L499" s="2">
        <v>46161</v>
      </c>
      <c r="M499" s="2">
        <v>46169</v>
      </c>
      <c r="N499">
        <v>1781223</v>
      </c>
      <c r="O499">
        <v>94349</v>
      </c>
      <c r="P499">
        <v>1686874</v>
      </c>
      <c r="Q499" s="1" t="s">
        <v>66</v>
      </c>
      <c r="R499" s="1" t="s">
        <v>67</v>
      </c>
      <c r="S499" s="1" t="s">
        <v>37</v>
      </c>
      <c r="T499" s="1" t="s">
        <v>37</v>
      </c>
      <c r="U499">
        <v>3.3</v>
      </c>
      <c r="V499" t="s">
        <v>91</v>
      </c>
      <c r="W499">
        <v>5</v>
      </c>
      <c r="X499" s="1" t="s">
        <v>86</v>
      </c>
    </row>
    <row r="500" spans="1:24" x14ac:dyDescent="0.55000000000000004">
      <c r="A500" s="1" t="s">
        <v>584</v>
      </c>
      <c r="B500" s="1" t="s">
        <v>41</v>
      </c>
      <c r="C500">
        <v>27</v>
      </c>
      <c r="D500" s="1" t="s">
        <v>26</v>
      </c>
      <c r="E500" s="1" t="s">
        <v>71</v>
      </c>
      <c r="F500" s="1" t="s">
        <v>72</v>
      </c>
      <c r="G500" s="1" t="s">
        <v>29</v>
      </c>
      <c r="H500" s="1" t="s">
        <v>77</v>
      </c>
      <c r="I500" s="1" t="s">
        <v>74</v>
      </c>
      <c r="J500" s="1" t="s">
        <v>32</v>
      </c>
      <c r="K500" s="1" t="s">
        <v>46</v>
      </c>
      <c r="L500" s="2">
        <v>45847</v>
      </c>
      <c r="M500" s="2">
        <v>45891</v>
      </c>
      <c r="N500">
        <v>1659907</v>
      </c>
      <c r="O500">
        <v>82384</v>
      </c>
      <c r="P500">
        <v>1577523</v>
      </c>
      <c r="Q500" s="1" t="s">
        <v>34</v>
      </c>
      <c r="R500" s="1" t="s">
        <v>35</v>
      </c>
      <c r="S500" s="1" t="s">
        <v>37</v>
      </c>
      <c r="T500" s="1" t="s">
        <v>36</v>
      </c>
      <c r="U500">
        <v>4.9000000000000004</v>
      </c>
      <c r="V500" t="s">
        <v>38</v>
      </c>
      <c r="W500">
        <v>8</v>
      </c>
      <c r="X500" s="1" t="s">
        <v>57</v>
      </c>
    </row>
    <row r="501" spans="1:24" x14ac:dyDescent="0.55000000000000004">
      <c r="A501" s="1" t="s">
        <v>585</v>
      </c>
      <c r="B501" s="1" t="s">
        <v>25</v>
      </c>
      <c r="C501">
        <v>26</v>
      </c>
      <c r="D501" s="1" t="s">
        <v>42</v>
      </c>
      <c r="E501" s="1" t="s">
        <v>90</v>
      </c>
      <c r="F501" s="1" t="s">
        <v>44</v>
      </c>
      <c r="G501" s="1" t="s">
        <v>29</v>
      </c>
      <c r="H501" s="1" t="s">
        <v>65</v>
      </c>
      <c r="I501" s="1" t="s">
        <v>74</v>
      </c>
      <c r="J501" s="1" t="s">
        <v>32</v>
      </c>
      <c r="K501" s="1" t="s">
        <v>33</v>
      </c>
      <c r="L501" s="2">
        <v>45951</v>
      </c>
      <c r="M501" s="2">
        <v>45975</v>
      </c>
      <c r="N501">
        <v>1853702</v>
      </c>
      <c r="O501">
        <v>71823</v>
      </c>
      <c r="P501">
        <v>1781879</v>
      </c>
      <c r="Q501" s="1" t="s">
        <v>34</v>
      </c>
      <c r="R501" s="1" t="s">
        <v>67</v>
      </c>
      <c r="S501" s="1" t="s">
        <v>37</v>
      </c>
      <c r="T501" s="1" t="s">
        <v>36</v>
      </c>
      <c r="U501">
        <v>3</v>
      </c>
      <c r="V501" t="s">
        <v>38</v>
      </c>
      <c r="W501">
        <v>11</v>
      </c>
      <c r="X501" s="1" t="s">
        <v>60</v>
      </c>
    </row>
    <row r="502" spans="1:24" x14ac:dyDescent="0.55000000000000004">
      <c r="A502" s="1" t="s">
        <v>586</v>
      </c>
      <c r="B502" s="1" t="s">
        <v>51</v>
      </c>
      <c r="C502">
        <v>51</v>
      </c>
      <c r="D502" s="1" t="s">
        <v>42</v>
      </c>
      <c r="E502" s="1" t="s">
        <v>52</v>
      </c>
      <c r="F502" s="1" t="s">
        <v>44</v>
      </c>
      <c r="G502" s="1" t="s">
        <v>29</v>
      </c>
      <c r="H502" s="1" t="s">
        <v>65</v>
      </c>
      <c r="I502" s="1" t="s">
        <v>74</v>
      </c>
      <c r="J502" s="1" t="s">
        <v>54</v>
      </c>
      <c r="K502" s="1" t="s">
        <v>46</v>
      </c>
      <c r="L502" s="2">
        <v>45930</v>
      </c>
      <c r="M502" s="2">
        <v>45938</v>
      </c>
      <c r="N502">
        <v>1353642</v>
      </c>
      <c r="O502">
        <v>35751</v>
      </c>
      <c r="P502">
        <v>1317891</v>
      </c>
      <c r="Q502" s="1" t="s">
        <v>55</v>
      </c>
      <c r="R502" s="1" t="s">
        <v>67</v>
      </c>
      <c r="S502" s="1" t="s">
        <v>37</v>
      </c>
      <c r="T502" s="1" t="s">
        <v>37</v>
      </c>
      <c r="U502">
        <v>3.6</v>
      </c>
      <c r="V502" t="s">
        <v>91</v>
      </c>
      <c r="W502">
        <v>10</v>
      </c>
      <c r="X502" s="1" t="s">
        <v>75</v>
      </c>
    </row>
    <row r="503" spans="1:24" x14ac:dyDescent="0.55000000000000004">
      <c r="A503" s="1" t="s">
        <v>587</v>
      </c>
      <c r="B503" s="1" t="s">
        <v>41</v>
      </c>
      <c r="C503">
        <v>57</v>
      </c>
      <c r="D503" s="1" t="s">
        <v>26</v>
      </c>
      <c r="E503" s="1" t="s">
        <v>71</v>
      </c>
      <c r="F503" s="1" t="s">
        <v>72</v>
      </c>
      <c r="G503" s="1" t="s">
        <v>29</v>
      </c>
      <c r="H503" s="1" t="s">
        <v>30</v>
      </c>
      <c r="I503" s="1" t="s">
        <v>53</v>
      </c>
      <c r="J503" s="1" t="s">
        <v>32</v>
      </c>
      <c r="K503" s="1" t="s">
        <v>46</v>
      </c>
      <c r="L503" s="2">
        <v>45935</v>
      </c>
      <c r="M503" s="2">
        <v>45962</v>
      </c>
      <c r="N503">
        <v>1805333</v>
      </c>
      <c r="O503">
        <v>83100</v>
      </c>
      <c r="P503">
        <v>1722233</v>
      </c>
      <c r="Q503" s="1" t="s">
        <v>34</v>
      </c>
      <c r="R503" s="1" t="s">
        <v>79</v>
      </c>
      <c r="S503" s="1" t="s">
        <v>36</v>
      </c>
      <c r="T503" s="1" t="s">
        <v>36</v>
      </c>
      <c r="U503">
        <v>4.0999999999999996</v>
      </c>
      <c r="V503" t="s">
        <v>38</v>
      </c>
      <c r="W503">
        <v>11</v>
      </c>
      <c r="X503" s="1" t="s">
        <v>60</v>
      </c>
    </row>
    <row r="504" spans="1:24" x14ac:dyDescent="0.55000000000000004">
      <c r="A504" s="1" t="s">
        <v>588</v>
      </c>
      <c r="B504" s="1" t="s">
        <v>98</v>
      </c>
      <c r="C504">
        <v>58</v>
      </c>
      <c r="D504" s="1" t="s">
        <v>42</v>
      </c>
      <c r="E504" s="1" t="s">
        <v>27</v>
      </c>
      <c r="F504" s="1" t="s">
        <v>28</v>
      </c>
      <c r="G504" s="1" t="s">
        <v>29</v>
      </c>
      <c r="H504" s="1" t="s">
        <v>65</v>
      </c>
      <c r="I504" s="1" t="s">
        <v>74</v>
      </c>
      <c r="J504" s="1" t="s">
        <v>32</v>
      </c>
      <c r="K504" s="1" t="s">
        <v>46</v>
      </c>
      <c r="L504" s="2">
        <v>46035</v>
      </c>
      <c r="M504" s="2">
        <v>46068</v>
      </c>
      <c r="N504">
        <v>1406783</v>
      </c>
      <c r="O504">
        <v>23838</v>
      </c>
      <c r="P504">
        <v>1382945</v>
      </c>
      <c r="Q504" s="1" t="s">
        <v>78</v>
      </c>
      <c r="R504" s="1" t="s">
        <v>48</v>
      </c>
      <c r="S504" s="1" t="s">
        <v>37</v>
      </c>
      <c r="T504" s="1" t="s">
        <v>37</v>
      </c>
      <c r="U504">
        <v>3.6</v>
      </c>
      <c r="V504" t="s">
        <v>38</v>
      </c>
      <c r="W504">
        <v>2</v>
      </c>
      <c r="X504" s="1" t="s">
        <v>107</v>
      </c>
    </row>
    <row r="505" spans="1:24" x14ac:dyDescent="0.55000000000000004">
      <c r="A505" s="1" t="s">
        <v>589</v>
      </c>
      <c r="B505" s="1" t="s">
        <v>25</v>
      </c>
      <c r="C505">
        <v>51</v>
      </c>
      <c r="D505" s="1" t="s">
        <v>26</v>
      </c>
      <c r="E505" s="1" t="s">
        <v>84</v>
      </c>
      <c r="F505" s="1" t="s">
        <v>85</v>
      </c>
      <c r="G505" s="1" t="s">
        <v>29</v>
      </c>
      <c r="H505" s="1" t="s">
        <v>77</v>
      </c>
      <c r="I505" s="1" t="s">
        <v>45</v>
      </c>
      <c r="J505" s="1" t="s">
        <v>54</v>
      </c>
      <c r="K505" s="1" t="s">
        <v>46</v>
      </c>
      <c r="L505" s="2">
        <v>45818</v>
      </c>
      <c r="M505" s="2">
        <v>45851</v>
      </c>
      <c r="N505">
        <v>1632818</v>
      </c>
      <c r="O505">
        <v>44421</v>
      </c>
      <c r="P505">
        <v>1588397</v>
      </c>
      <c r="Q505" s="1" t="s">
        <v>78</v>
      </c>
      <c r="R505" s="1" t="s">
        <v>79</v>
      </c>
      <c r="S505" s="1" t="s">
        <v>37</v>
      </c>
      <c r="T505" s="1" t="s">
        <v>36</v>
      </c>
      <c r="U505">
        <v>4.7</v>
      </c>
      <c r="V505" t="s">
        <v>38</v>
      </c>
      <c r="W505">
        <v>7</v>
      </c>
      <c r="X505" s="1" t="s">
        <v>39</v>
      </c>
    </row>
    <row r="506" spans="1:24" x14ac:dyDescent="0.55000000000000004">
      <c r="A506" s="1" t="s">
        <v>590</v>
      </c>
      <c r="B506" s="1" t="s">
        <v>81</v>
      </c>
      <c r="C506">
        <v>50</v>
      </c>
      <c r="D506" s="1" t="s">
        <v>42</v>
      </c>
      <c r="E506" s="1" t="s">
        <v>43</v>
      </c>
      <c r="F506" s="1" t="s">
        <v>44</v>
      </c>
      <c r="G506" s="1" t="s">
        <v>29</v>
      </c>
      <c r="H506" s="1" t="s">
        <v>30</v>
      </c>
      <c r="I506" s="1" t="s">
        <v>59</v>
      </c>
      <c r="J506" s="1" t="s">
        <v>32</v>
      </c>
      <c r="K506" s="1" t="s">
        <v>46</v>
      </c>
      <c r="L506" s="2">
        <v>46046</v>
      </c>
      <c r="M506" s="2">
        <v>46065</v>
      </c>
      <c r="N506">
        <v>1555721</v>
      </c>
      <c r="O506">
        <v>58292</v>
      </c>
      <c r="P506">
        <v>1497429</v>
      </c>
      <c r="Q506" s="1" t="s">
        <v>78</v>
      </c>
      <c r="R506" s="1" t="s">
        <v>109</v>
      </c>
      <c r="S506" s="1" t="s">
        <v>37</v>
      </c>
      <c r="T506" s="1" t="s">
        <v>36</v>
      </c>
      <c r="U506">
        <v>4.5</v>
      </c>
      <c r="V506" t="s">
        <v>56</v>
      </c>
      <c r="W506">
        <v>2</v>
      </c>
      <c r="X506" s="1" t="s">
        <v>107</v>
      </c>
    </row>
    <row r="507" spans="1:24" x14ac:dyDescent="0.55000000000000004">
      <c r="A507" s="1" t="s">
        <v>591</v>
      </c>
      <c r="B507" s="1" t="s">
        <v>25</v>
      </c>
      <c r="C507">
        <v>23</v>
      </c>
      <c r="D507" s="1" t="s">
        <v>42</v>
      </c>
      <c r="E507" s="1" t="s">
        <v>90</v>
      </c>
      <c r="F507" s="1" t="s">
        <v>44</v>
      </c>
      <c r="G507" s="1" t="s">
        <v>29</v>
      </c>
      <c r="H507" s="1" t="s">
        <v>77</v>
      </c>
      <c r="I507" s="1" t="s">
        <v>53</v>
      </c>
      <c r="J507" s="1" t="s">
        <v>54</v>
      </c>
      <c r="K507" s="1" t="s">
        <v>33</v>
      </c>
      <c r="L507" s="2">
        <v>45743</v>
      </c>
      <c r="M507" s="2">
        <v>45769</v>
      </c>
      <c r="N507">
        <v>1753821</v>
      </c>
      <c r="O507">
        <v>29942</v>
      </c>
      <c r="P507">
        <v>1723879</v>
      </c>
      <c r="Q507" s="1" t="s">
        <v>34</v>
      </c>
      <c r="R507" s="1" t="s">
        <v>109</v>
      </c>
      <c r="S507" s="1" t="s">
        <v>37</v>
      </c>
      <c r="T507" s="1" t="s">
        <v>37</v>
      </c>
      <c r="U507">
        <v>4.7</v>
      </c>
      <c r="V507" t="s">
        <v>38</v>
      </c>
      <c r="W507">
        <v>4</v>
      </c>
      <c r="X507" s="1" t="s">
        <v>63</v>
      </c>
    </row>
    <row r="508" spans="1:24" x14ac:dyDescent="0.55000000000000004">
      <c r="A508" s="1" t="s">
        <v>592</v>
      </c>
      <c r="B508" s="1" t="s">
        <v>41</v>
      </c>
      <c r="C508">
        <v>40</v>
      </c>
      <c r="D508" s="1" t="s">
        <v>42</v>
      </c>
      <c r="E508" s="1" t="s">
        <v>43</v>
      </c>
      <c r="F508" s="1" t="s">
        <v>44</v>
      </c>
      <c r="G508" s="1" t="s">
        <v>29</v>
      </c>
      <c r="H508" s="1" t="s">
        <v>30</v>
      </c>
      <c r="I508" s="1" t="s">
        <v>74</v>
      </c>
      <c r="J508" s="1" t="s">
        <v>54</v>
      </c>
      <c r="K508" s="1" t="s">
        <v>33</v>
      </c>
      <c r="L508" s="2">
        <v>46175</v>
      </c>
      <c r="M508" s="2">
        <v>46198</v>
      </c>
      <c r="N508">
        <v>1308200</v>
      </c>
      <c r="O508">
        <v>17765</v>
      </c>
      <c r="P508">
        <v>1290435</v>
      </c>
      <c r="Q508" s="1" t="s">
        <v>66</v>
      </c>
      <c r="R508" s="1" t="s">
        <v>109</v>
      </c>
      <c r="S508" s="1" t="s">
        <v>37</v>
      </c>
      <c r="T508" s="1" t="s">
        <v>37</v>
      </c>
      <c r="U508">
        <v>5</v>
      </c>
      <c r="V508" t="s">
        <v>38</v>
      </c>
      <c r="W508">
        <v>6</v>
      </c>
      <c r="X508" s="1" t="s">
        <v>68</v>
      </c>
    </row>
    <row r="509" spans="1:24" x14ac:dyDescent="0.55000000000000004">
      <c r="A509" s="1" t="s">
        <v>593</v>
      </c>
      <c r="B509" s="1" t="s">
        <v>98</v>
      </c>
      <c r="C509">
        <v>32</v>
      </c>
      <c r="D509" s="1" t="s">
        <v>42</v>
      </c>
      <c r="E509" s="1" t="s">
        <v>43</v>
      </c>
      <c r="F509" s="1" t="s">
        <v>44</v>
      </c>
      <c r="G509" s="1" t="s">
        <v>29</v>
      </c>
      <c r="H509" s="1" t="s">
        <v>65</v>
      </c>
      <c r="I509" s="1" t="s">
        <v>59</v>
      </c>
      <c r="J509" s="1" t="s">
        <v>54</v>
      </c>
      <c r="K509" s="1" t="s">
        <v>46</v>
      </c>
      <c r="L509" s="2">
        <v>45987</v>
      </c>
      <c r="M509" s="2">
        <v>46008</v>
      </c>
      <c r="N509">
        <v>1848963</v>
      </c>
      <c r="O509">
        <v>18611</v>
      </c>
      <c r="P509">
        <v>1830352</v>
      </c>
      <c r="Q509" s="1" t="s">
        <v>78</v>
      </c>
      <c r="R509" s="1" t="s">
        <v>109</v>
      </c>
      <c r="S509" s="1" t="s">
        <v>37</v>
      </c>
      <c r="T509" s="1" t="s">
        <v>36</v>
      </c>
      <c r="U509">
        <v>3.6</v>
      </c>
      <c r="V509" t="s">
        <v>38</v>
      </c>
      <c r="W509">
        <v>12</v>
      </c>
      <c r="X509" s="1" t="s">
        <v>49</v>
      </c>
    </row>
    <row r="510" spans="1:24" x14ac:dyDescent="0.55000000000000004">
      <c r="A510" s="1" t="s">
        <v>594</v>
      </c>
      <c r="B510" s="1" t="s">
        <v>83</v>
      </c>
      <c r="C510">
        <v>57</v>
      </c>
      <c r="D510" s="1" t="s">
        <v>26</v>
      </c>
      <c r="E510" s="1" t="s">
        <v>84</v>
      </c>
      <c r="F510" s="1" t="s">
        <v>85</v>
      </c>
      <c r="G510" s="1" t="s">
        <v>29</v>
      </c>
      <c r="H510" s="1" t="s">
        <v>30</v>
      </c>
      <c r="I510" s="1" t="s">
        <v>53</v>
      </c>
      <c r="J510" s="1" t="s">
        <v>32</v>
      </c>
      <c r="K510" s="1" t="s">
        <v>33</v>
      </c>
      <c r="L510" s="2">
        <v>45977</v>
      </c>
      <c r="M510" s="2">
        <v>46000</v>
      </c>
      <c r="N510">
        <v>1463241</v>
      </c>
      <c r="O510">
        <v>46968</v>
      </c>
      <c r="P510">
        <v>1416273</v>
      </c>
      <c r="Q510" s="1" t="s">
        <v>66</v>
      </c>
      <c r="R510" s="1" t="s">
        <v>35</v>
      </c>
      <c r="S510" s="1" t="s">
        <v>37</v>
      </c>
      <c r="T510" s="1" t="s">
        <v>36</v>
      </c>
      <c r="U510">
        <v>4.2</v>
      </c>
      <c r="V510" t="s">
        <v>38</v>
      </c>
      <c r="W510">
        <v>12</v>
      </c>
      <c r="X510" s="1" t="s">
        <v>49</v>
      </c>
    </row>
    <row r="511" spans="1:24" x14ac:dyDescent="0.55000000000000004">
      <c r="A511" s="1" t="s">
        <v>595</v>
      </c>
      <c r="B511" s="1" t="s">
        <v>25</v>
      </c>
      <c r="C511">
        <v>42</v>
      </c>
      <c r="D511" s="1" t="s">
        <v>42</v>
      </c>
      <c r="E511" s="1" t="s">
        <v>90</v>
      </c>
      <c r="F511" s="1" t="s">
        <v>44</v>
      </c>
      <c r="G511" s="1" t="s">
        <v>29</v>
      </c>
      <c r="H511" s="1" t="s">
        <v>65</v>
      </c>
      <c r="I511" s="1" t="s">
        <v>53</v>
      </c>
      <c r="J511" s="1" t="s">
        <v>32</v>
      </c>
      <c r="K511" s="1" t="s">
        <v>46</v>
      </c>
      <c r="L511" s="2">
        <v>45741</v>
      </c>
      <c r="M511" s="2">
        <v>45754</v>
      </c>
      <c r="N511">
        <v>1563206</v>
      </c>
      <c r="O511">
        <v>84938</v>
      </c>
      <c r="P511">
        <v>1478268</v>
      </c>
      <c r="Q511" s="1" t="s">
        <v>78</v>
      </c>
      <c r="R511" s="1" t="s">
        <v>79</v>
      </c>
      <c r="S511" s="1" t="s">
        <v>37</v>
      </c>
      <c r="T511" s="1" t="s">
        <v>37</v>
      </c>
      <c r="U511">
        <v>3.7</v>
      </c>
      <c r="V511" t="s">
        <v>56</v>
      </c>
      <c r="W511">
        <v>4</v>
      </c>
      <c r="X511" s="1" t="s">
        <v>63</v>
      </c>
    </row>
    <row r="512" spans="1:24" x14ac:dyDescent="0.55000000000000004">
      <c r="A512" s="1" t="s">
        <v>596</v>
      </c>
      <c r="B512" s="1" t="s">
        <v>70</v>
      </c>
      <c r="C512">
        <v>30</v>
      </c>
      <c r="D512" s="1" t="s">
        <v>26</v>
      </c>
      <c r="E512" s="1" t="s">
        <v>84</v>
      </c>
      <c r="F512" s="1" t="s">
        <v>85</v>
      </c>
      <c r="G512" s="1" t="s">
        <v>29</v>
      </c>
      <c r="H512" s="1" t="s">
        <v>30</v>
      </c>
      <c r="I512" s="1" t="s">
        <v>31</v>
      </c>
      <c r="J512" s="1" t="s">
        <v>32</v>
      </c>
      <c r="K512" s="1" t="s">
        <v>46</v>
      </c>
      <c r="L512" s="2">
        <v>46132</v>
      </c>
      <c r="M512" s="2">
        <v>46156</v>
      </c>
      <c r="N512">
        <v>1308414</v>
      </c>
      <c r="O512">
        <v>51591</v>
      </c>
      <c r="P512">
        <v>1256823</v>
      </c>
      <c r="Q512" s="1" t="s">
        <v>66</v>
      </c>
      <c r="R512" s="1" t="s">
        <v>35</v>
      </c>
      <c r="S512" s="1" t="s">
        <v>37</v>
      </c>
      <c r="T512" s="1" t="s">
        <v>37</v>
      </c>
      <c r="U512">
        <v>3.9</v>
      </c>
      <c r="V512" t="s">
        <v>38</v>
      </c>
      <c r="W512">
        <v>5</v>
      </c>
      <c r="X512" s="1" t="s">
        <v>86</v>
      </c>
    </row>
    <row r="513" spans="1:24" x14ac:dyDescent="0.55000000000000004">
      <c r="A513" s="1" t="s">
        <v>597</v>
      </c>
      <c r="B513" s="1" t="s">
        <v>70</v>
      </c>
      <c r="C513">
        <v>50</v>
      </c>
      <c r="D513" s="1" t="s">
        <v>42</v>
      </c>
      <c r="E513" s="1" t="s">
        <v>84</v>
      </c>
      <c r="F513" s="1" t="s">
        <v>85</v>
      </c>
      <c r="G513" s="1" t="s">
        <v>29</v>
      </c>
      <c r="H513" s="1" t="s">
        <v>65</v>
      </c>
      <c r="I513" s="1" t="s">
        <v>45</v>
      </c>
      <c r="J513" s="1" t="s">
        <v>32</v>
      </c>
      <c r="K513" s="1" t="s">
        <v>46</v>
      </c>
      <c r="L513" s="2">
        <v>46182</v>
      </c>
      <c r="M513" s="2">
        <v>46207</v>
      </c>
      <c r="N513">
        <v>1896483</v>
      </c>
      <c r="O513">
        <v>87491</v>
      </c>
      <c r="P513">
        <v>1808992</v>
      </c>
      <c r="Q513" s="1" t="s">
        <v>78</v>
      </c>
      <c r="R513" s="1" t="s">
        <v>48</v>
      </c>
      <c r="S513" s="1" t="s">
        <v>37</v>
      </c>
      <c r="T513" s="1" t="s">
        <v>37</v>
      </c>
      <c r="U513">
        <v>4.2</v>
      </c>
      <c r="V513" t="s">
        <v>38</v>
      </c>
      <c r="W513">
        <v>7</v>
      </c>
      <c r="X513" s="1" t="s">
        <v>39</v>
      </c>
    </row>
    <row r="514" spans="1:24" x14ac:dyDescent="0.55000000000000004">
      <c r="A514" s="1" t="s">
        <v>598</v>
      </c>
      <c r="B514" s="1" t="s">
        <v>62</v>
      </c>
      <c r="C514">
        <v>28</v>
      </c>
      <c r="D514" s="1" t="s">
        <v>26</v>
      </c>
      <c r="E514" s="1" t="s">
        <v>52</v>
      </c>
      <c r="F514" s="1" t="s">
        <v>44</v>
      </c>
      <c r="G514" s="1" t="s">
        <v>29</v>
      </c>
      <c r="H514" s="1" t="s">
        <v>65</v>
      </c>
      <c r="I514" s="1" t="s">
        <v>45</v>
      </c>
      <c r="J514" s="1" t="s">
        <v>54</v>
      </c>
      <c r="K514" s="1" t="s">
        <v>46</v>
      </c>
      <c r="L514" s="2">
        <v>45896</v>
      </c>
      <c r="M514" s="2">
        <v>45932</v>
      </c>
      <c r="N514">
        <v>1688445</v>
      </c>
      <c r="O514">
        <v>84752</v>
      </c>
      <c r="P514">
        <v>1603693</v>
      </c>
      <c r="Q514" s="1" t="s">
        <v>34</v>
      </c>
      <c r="R514" s="1" t="s">
        <v>79</v>
      </c>
      <c r="S514" s="1" t="s">
        <v>37</v>
      </c>
      <c r="T514" s="1" t="s">
        <v>37</v>
      </c>
      <c r="U514">
        <v>4</v>
      </c>
      <c r="V514" t="s">
        <v>38</v>
      </c>
      <c r="W514">
        <v>10</v>
      </c>
      <c r="X514" s="1" t="s">
        <v>75</v>
      </c>
    </row>
    <row r="515" spans="1:24" x14ac:dyDescent="0.55000000000000004">
      <c r="A515" s="1" t="s">
        <v>599</v>
      </c>
      <c r="B515" s="1" t="s">
        <v>83</v>
      </c>
      <c r="C515">
        <v>36</v>
      </c>
      <c r="D515" s="1" t="s">
        <v>42</v>
      </c>
      <c r="E515" s="1" t="s">
        <v>52</v>
      </c>
      <c r="F515" s="1" t="s">
        <v>44</v>
      </c>
      <c r="G515" s="1" t="s">
        <v>29</v>
      </c>
      <c r="H515" s="1" t="s">
        <v>65</v>
      </c>
      <c r="I515" s="1" t="s">
        <v>59</v>
      </c>
      <c r="J515" s="1" t="s">
        <v>54</v>
      </c>
      <c r="K515" s="1" t="s">
        <v>33</v>
      </c>
      <c r="L515" s="2">
        <v>46000</v>
      </c>
      <c r="M515" s="2">
        <v>46013</v>
      </c>
      <c r="N515">
        <v>1703844</v>
      </c>
      <c r="O515">
        <v>92737</v>
      </c>
      <c r="P515">
        <v>1611107</v>
      </c>
      <c r="Q515" s="1" t="s">
        <v>47</v>
      </c>
      <c r="R515" s="1" t="s">
        <v>48</v>
      </c>
      <c r="S515" s="1" t="s">
        <v>36</v>
      </c>
      <c r="T515" s="1" t="s">
        <v>37</v>
      </c>
      <c r="U515">
        <v>4</v>
      </c>
      <c r="V515" t="s">
        <v>56</v>
      </c>
      <c r="W515">
        <v>12</v>
      </c>
      <c r="X515" s="1" t="s">
        <v>49</v>
      </c>
    </row>
    <row r="516" spans="1:24" x14ac:dyDescent="0.55000000000000004">
      <c r="A516" s="1" t="s">
        <v>600</v>
      </c>
      <c r="B516" s="1" t="s">
        <v>93</v>
      </c>
      <c r="C516">
        <v>56</v>
      </c>
      <c r="D516" s="1" t="s">
        <v>26</v>
      </c>
      <c r="E516" s="1" t="s">
        <v>43</v>
      </c>
      <c r="F516" s="1" t="s">
        <v>44</v>
      </c>
      <c r="G516" s="1" t="s">
        <v>29</v>
      </c>
      <c r="H516" s="1" t="s">
        <v>30</v>
      </c>
      <c r="I516" s="1" t="s">
        <v>31</v>
      </c>
      <c r="J516" s="1" t="s">
        <v>32</v>
      </c>
      <c r="K516" s="1" t="s">
        <v>33</v>
      </c>
      <c r="L516" s="2">
        <v>46152</v>
      </c>
      <c r="M516" s="2">
        <v>46184</v>
      </c>
      <c r="N516">
        <v>1399289</v>
      </c>
      <c r="O516">
        <v>27047</v>
      </c>
      <c r="P516">
        <v>1372242</v>
      </c>
      <c r="Q516" s="1" t="s">
        <v>34</v>
      </c>
      <c r="R516" s="1" t="s">
        <v>67</v>
      </c>
      <c r="S516" s="1" t="s">
        <v>36</v>
      </c>
      <c r="T516" s="1" t="s">
        <v>36</v>
      </c>
      <c r="U516">
        <v>4.3</v>
      </c>
      <c r="V516" t="s">
        <v>38</v>
      </c>
      <c r="W516">
        <v>6</v>
      </c>
      <c r="X516" s="1" t="s">
        <v>68</v>
      </c>
    </row>
    <row r="517" spans="1:24" x14ac:dyDescent="0.55000000000000004">
      <c r="A517" s="1" t="s">
        <v>601</v>
      </c>
      <c r="B517" s="1" t="s">
        <v>98</v>
      </c>
      <c r="C517">
        <v>26</v>
      </c>
      <c r="D517" s="1" t="s">
        <v>42</v>
      </c>
      <c r="E517" s="1" t="s">
        <v>71</v>
      </c>
      <c r="F517" s="1" t="s">
        <v>72</v>
      </c>
      <c r="G517" s="1" t="s">
        <v>29</v>
      </c>
      <c r="H517" s="1" t="s">
        <v>77</v>
      </c>
      <c r="I517" s="1" t="s">
        <v>53</v>
      </c>
      <c r="J517" s="1" t="s">
        <v>32</v>
      </c>
      <c r="K517" s="1" t="s">
        <v>33</v>
      </c>
      <c r="L517" s="2">
        <v>46030</v>
      </c>
      <c r="M517" s="2">
        <v>46055</v>
      </c>
      <c r="N517">
        <v>1775558</v>
      </c>
      <c r="O517">
        <v>51347</v>
      </c>
      <c r="P517">
        <v>1724211</v>
      </c>
      <c r="Q517" s="1" t="s">
        <v>34</v>
      </c>
      <c r="R517" s="1" t="s">
        <v>67</v>
      </c>
      <c r="S517" s="1" t="s">
        <v>36</v>
      </c>
      <c r="T517" s="1" t="s">
        <v>36</v>
      </c>
      <c r="U517">
        <v>4.0999999999999996</v>
      </c>
      <c r="V517" t="s">
        <v>38</v>
      </c>
      <c r="W517">
        <v>2</v>
      </c>
      <c r="X517" s="1" t="s">
        <v>107</v>
      </c>
    </row>
    <row r="518" spans="1:24" x14ac:dyDescent="0.55000000000000004">
      <c r="A518" s="1" t="s">
        <v>602</v>
      </c>
      <c r="B518" s="1" t="s">
        <v>98</v>
      </c>
      <c r="C518">
        <v>34</v>
      </c>
      <c r="D518" s="1" t="s">
        <v>26</v>
      </c>
      <c r="E518" s="1" t="s">
        <v>52</v>
      </c>
      <c r="F518" s="1" t="s">
        <v>44</v>
      </c>
      <c r="G518" s="1" t="s">
        <v>29</v>
      </c>
      <c r="H518" s="1" t="s">
        <v>77</v>
      </c>
      <c r="I518" s="1" t="s">
        <v>74</v>
      </c>
      <c r="J518" s="1" t="s">
        <v>54</v>
      </c>
      <c r="K518" s="1" t="s">
        <v>33</v>
      </c>
      <c r="L518" s="2">
        <v>45665</v>
      </c>
      <c r="M518" s="2">
        <v>45699</v>
      </c>
      <c r="N518">
        <v>1827327</v>
      </c>
      <c r="O518">
        <v>61524</v>
      </c>
      <c r="P518">
        <v>1765803</v>
      </c>
      <c r="Q518" s="1" t="s">
        <v>78</v>
      </c>
      <c r="R518" s="1" t="s">
        <v>67</v>
      </c>
      <c r="S518" s="1" t="s">
        <v>37</v>
      </c>
      <c r="T518" s="1" t="s">
        <v>36</v>
      </c>
      <c r="U518">
        <v>4.4000000000000004</v>
      </c>
      <c r="V518" t="s">
        <v>38</v>
      </c>
      <c r="W518">
        <v>2</v>
      </c>
      <c r="X518" s="1" t="s">
        <v>107</v>
      </c>
    </row>
    <row r="519" spans="1:24" x14ac:dyDescent="0.55000000000000004">
      <c r="A519" s="1" t="s">
        <v>603</v>
      </c>
      <c r="B519" s="1" t="s">
        <v>70</v>
      </c>
      <c r="C519">
        <v>35</v>
      </c>
      <c r="D519" s="1" t="s">
        <v>42</v>
      </c>
      <c r="E519" s="1" t="s">
        <v>52</v>
      </c>
      <c r="F519" s="1" t="s">
        <v>44</v>
      </c>
      <c r="G519" s="1" t="s">
        <v>29</v>
      </c>
      <c r="H519" s="1" t="s">
        <v>65</v>
      </c>
      <c r="I519" s="1" t="s">
        <v>31</v>
      </c>
      <c r="J519" s="1" t="s">
        <v>32</v>
      </c>
      <c r="K519" s="1" t="s">
        <v>46</v>
      </c>
      <c r="L519" s="2">
        <v>45874</v>
      </c>
      <c r="M519" s="2">
        <v>45884</v>
      </c>
      <c r="N519">
        <v>1779133</v>
      </c>
      <c r="O519">
        <v>30434</v>
      </c>
      <c r="P519">
        <v>1748699</v>
      </c>
      <c r="Q519" s="1" t="s">
        <v>47</v>
      </c>
      <c r="R519" s="1" t="s">
        <v>48</v>
      </c>
      <c r="S519" s="1" t="s">
        <v>36</v>
      </c>
      <c r="T519" s="1" t="s">
        <v>36</v>
      </c>
      <c r="U519">
        <v>4.7</v>
      </c>
      <c r="V519" t="s">
        <v>91</v>
      </c>
      <c r="W519">
        <v>8</v>
      </c>
      <c r="X519" s="1" t="s">
        <v>57</v>
      </c>
    </row>
    <row r="520" spans="1:24" x14ac:dyDescent="0.55000000000000004">
      <c r="A520" s="1" t="s">
        <v>604</v>
      </c>
      <c r="B520" s="1" t="s">
        <v>62</v>
      </c>
      <c r="C520">
        <v>41</v>
      </c>
      <c r="D520" s="1" t="s">
        <v>26</v>
      </c>
      <c r="E520" s="1" t="s">
        <v>71</v>
      </c>
      <c r="F520" s="1" t="s">
        <v>72</v>
      </c>
      <c r="G520" s="1" t="s">
        <v>29</v>
      </c>
      <c r="H520" s="1" t="s">
        <v>77</v>
      </c>
      <c r="I520" s="1" t="s">
        <v>74</v>
      </c>
      <c r="J520" s="1" t="s">
        <v>54</v>
      </c>
      <c r="K520" s="1" t="s">
        <v>46</v>
      </c>
      <c r="L520" s="2">
        <v>45880</v>
      </c>
      <c r="M520" s="2">
        <v>45919</v>
      </c>
      <c r="N520">
        <v>1407816</v>
      </c>
      <c r="O520">
        <v>88485</v>
      </c>
      <c r="P520">
        <v>1319331</v>
      </c>
      <c r="Q520" s="1" t="s">
        <v>66</v>
      </c>
      <c r="R520" s="1" t="s">
        <v>48</v>
      </c>
      <c r="S520" s="1" t="s">
        <v>37</v>
      </c>
      <c r="T520" s="1" t="s">
        <v>37</v>
      </c>
      <c r="U520">
        <v>3</v>
      </c>
      <c r="V520" t="s">
        <v>38</v>
      </c>
      <c r="W520">
        <v>9</v>
      </c>
      <c r="X520" s="1" t="s">
        <v>103</v>
      </c>
    </row>
    <row r="521" spans="1:24" x14ac:dyDescent="0.55000000000000004">
      <c r="A521" s="1" t="s">
        <v>605</v>
      </c>
      <c r="B521" s="1" t="s">
        <v>25</v>
      </c>
      <c r="C521">
        <v>58</v>
      </c>
      <c r="D521" s="1" t="s">
        <v>42</v>
      </c>
      <c r="E521" s="1" t="s">
        <v>43</v>
      </c>
      <c r="F521" s="1" t="s">
        <v>44</v>
      </c>
      <c r="G521" s="1" t="s">
        <v>29</v>
      </c>
      <c r="H521" s="1" t="s">
        <v>30</v>
      </c>
      <c r="I521" s="1" t="s">
        <v>31</v>
      </c>
      <c r="J521" s="1" t="s">
        <v>54</v>
      </c>
      <c r="K521" s="1" t="s">
        <v>46</v>
      </c>
      <c r="L521" s="2">
        <v>45899</v>
      </c>
      <c r="M521" s="2">
        <v>45927</v>
      </c>
      <c r="N521">
        <v>1867733</v>
      </c>
      <c r="O521">
        <v>96465</v>
      </c>
      <c r="P521">
        <v>1771268</v>
      </c>
      <c r="Q521" s="1" t="s">
        <v>47</v>
      </c>
      <c r="R521" s="1" t="s">
        <v>35</v>
      </c>
      <c r="S521" s="1" t="s">
        <v>37</v>
      </c>
      <c r="T521" s="1" t="s">
        <v>37</v>
      </c>
      <c r="U521">
        <v>3.5</v>
      </c>
      <c r="V521" t="s">
        <v>38</v>
      </c>
      <c r="W521">
        <v>9</v>
      </c>
      <c r="X521" s="1" t="s">
        <v>103</v>
      </c>
    </row>
    <row r="522" spans="1:24" x14ac:dyDescent="0.55000000000000004">
      <c r="A522" s="1" t="s">
        <v>606</v>
      </c>
      <c r="B522" s="1" t="s">
        <v>93</v>
      </c>
      <c r="C522">
        <v>49</v>
      </c>
      <c r="D522" s="1" t="s">
        <v>42</v>
      </c>
      <c r="E522" s="1" t="s">
        <v>43</v>
      </c>
      <c r="F522" s="1" t="s">
        <v>44</v>
      </c>
      <c r="G522" s="1" t="s">
        <v>29</v>
      </c>
      <c r="H522" s="1" t="s">
        <v>65</v>
      </c>
      <c r="I522" s="1" t="s">
        <v>53</v>
      </c>
      <c r="J522" s="1" t="s">
        <v>32</v>
      </c>
      <c r="K522" s="1" t="s">
        <v>46</v>
      </c>
      <c r="L522" s="2">
        <v>45930</v>
      </c>
      <c r="M522" s="2">
        <v>45954</v>
      </c>
      <c r="N522">
        <v>1502491</v>
      </c>
      <c r="O522">
        <v>14785</v>
      </c>
      <c r="P522">
        <v>1487706</v>
      </c>
      <c r="Q522" s="1" t="s">
        <v>55</v>
      </c>
      <c r="R522" s="1" t="s">
        <v>35</v>
      </c>
      <c r="S522" s="1" t="s">
        <v>37</v>
      </c>
      <c r="T522" s="1" t="s">
        <v>36</v>
      </c>
      <c r="U522">
        <v>4.3</v>
      </c>
      <c r="V522" t="s">
        <v>38</v>
      </c>
      <c r="W522">
        <v>10</v>
      </c>
      <c r="X522" s="1" t="s">
        <v>75</v>
      </c>
    </row>
    <row r="523" spans="1:24" x14ac:dyDescent="0.55000000000000004">
      <c r="A523" s="1" t="s">
        <v>607</v>
      </c>
      <c r="B523" s="1" t="s">
        <v>81</v>
      </c>
      <c r="C523">
        <v>39</v>
      </c>
      <c r="D523" s="1" t="s">
        <v>42</v>
      </c>
      <c r="E523" s="1" t="s">
        <v>84</v>
      </c>
      <c r="F523" s="1" t="s">
        <v>85</v>
      </c>
      <c r="G523" s="1" t="s">
        <v>29</v>
      </c>
      <c r="H523" s="1" t="s">
        <v>30</v>
      </c>
      <c r="I523" s="1" t="s">
        <v>31</v>
      </c>
      <c r="J523" s="1" t="s">
        <v>32</v>
      </c>
      <c r="K523" s="1" t="s">
        <v>46</v>
      </c>
      <c r="L523" s="2">
        <v>45878</v>
      </c>
      <c r="M523" s="2">
        <v>45893</v>
      </c>
      <c r="N523">
        <v>1661619</v>
      </c>
      <c r="O523">
        <v>80706</v>
      </c>
      <c r="P523">
        <v>1580913</v>
      </c>
      <c r="Q523" s="1" t="s">
        <v>55</v>
      </c>
      <c r="R523" s="1" t="s">
        <v>67</v>
      </c>
      <c r="S523" s="1" t="s">
        <v>37</v>
      </c>
      <c r="T523" s="1" t="s">
        <v>36</v>
      </c>
      <c r="U523">
        <v>4.9000000000000004</v>
      </c>
      <c r="V523" t="s">
        <v>56</v>
      </c>
      <c r="W523">
        <v>8</v>
      </c>
      <c r="X523" s="1" t="s">
        <v>57</v>
      </c>
    </row>
    <row r="524" spans="1:24" x14ac:dyDescent="0.55000000000000004">
      <c r="A524" s="1" t="s">
        <v>608</v>
      </c>
      <c r="B524" s="1" t="s">
        <v>70</v>
      </c>
      <c r="C524">
        <v>48</v>
      </c>
      <c r="D524" s="1" t="s">
        <v>42</v>
      </c>
      <c r="E524" s="1" t="s">
        <v>27</v>
      </c>
      <c r="F524" s="1" t="s">
        <v>28</v>
      </c>
      <c r="G524" s="1" t="s">
        <v>29</v>
      </c>
      <c r="H524" s="1" t="s">
        <v>77</v>
      </c>
      <c r="I524" s="1" t="s">
        <v>31</v>
      </c>
      <c r="J524" s="1" t="s">
        <v>32</v>
      </c>
      <c r="K524" s="1" t="s">
        <v>33</v>
      </c>
      <c r="L524" s="2">
        <v>46146</v>
      </c>
      <c r="M524" s="2">
        <v>46185</v>
      </c>
      <c r="N524">
        <v>1407967</v>
      </c>
      <c r="O524">
        <v>18248</v>
      </c>
      <c r="P524">
        <v>1389719</v>
      </c>
      <c r="Q524" s="1" t="s">
        <v>55</v>
      </c>
      <c r="R524" s="1" t="s">
        <v>79</v>
      </c>
      <c r="S524" s="1" t="s">
        <v>36</v>
      </c>
      <c r="T524" s="1" t="s">
        <v>37</v>
      </c>
      <c r="U524">
        <v>4.9000000000000004</v>
      </c>
      <c r="V524" t="s">
        <v>38</v>
      </c>
      <c r="W524">
        <v>6</v>
      </c>
      <c r="X524" s="1" t="s">
        <v>68</v>
      </c>
    </row>
    <row r="525" spans="1:24" x14ac:dyDescent="0.55000000000000004">
      <c r="A525" s="1" t="s">
        <v>609</v>
      </c>
      <c r="B525" s="1" t="s">
        <v>81</v>
      </c>
      <c r="C525">
        <v>44</v>
      </c>
      <c r="D525" s="1" t="s">
        <v>42</v>
      </c>
      <c r="E525" s="1" t="s">
        <v>43</v>
      </c>
      <c r="F525" s="1" t="s">
        <v>44</v>
      </c>
      <c r="G525" s="1" t="s">
        <v>29</v>
      </c>
      <c r="H525" s="1" t="s">
        <v>65</v>
      </c>
      <c r="I525" s="1" t="s">
        <v>59</v>
      </c>
      <c r="J525" s="1" t="s">
        <v>32</v>
      </c>
      <c r="K525" s="1" t="s">
        <v>46</v>
      </c>
      <c r="L525" s="2">
        <v>46068</v>
      </c>
      <c r="M525" s="2">
        <v>46094</v>
      </c>
      <c r="N525">
        <v>1629391</v>
      </c>
      <c r="O525">
        <v>21261</v>
      </c>
      <c r="P525">
        <v>1608130</v>
      </c>
      <c r="Q525" s="1" t="s">
        <v>47</v>
      </c>
      <c r="R525" s="1" t="s">
        <v>67</v>
      </c>
      <c r="S525" s="1" t="s">
        <v>36</v>
      </c>
      <c r="T525" s="1" t="s">
        <v>37</v>
      </c>
      <c r="U525">
        <v>3.6</v>
      </c>
      <c r="V525" t="s">
        <v>38</v>
      </c>
      <c r="W525">
        <v>3</v>
      </c>
      <c r="X525" s="1" t="s">
        <v>96</v>
      </c>
    </row>
    <row r="526" spans="1:24" x14ac:dyDescent="0.55000000000000004">
      <c r="A526" s="1" t="s">
        <v>610</v>
      </c>
      <c r="B526" s="1" t="s">
        <v>62</v>
      </c>
      <c r="C526">
        <v>49</v>
      </c>
      <c r="D526" s="1" t="s">
        <v>26</v>
      </c>
      <c r="E526" s="1" t="s">
        <v>52</v>
      </c>
      <c r="F526" s="1" t="s">
        <v>44</v>
      </c>
      <c r="G526" s="1" t="s">
        <v>29</v>
      </c>
      <c r="H526" s="1" t="s">
        <v>65</v>
      </c>
      <c r="I526" s="1" t="s">
        <v>53</v>
      </c>
      <c r="J526" s="1" t="s">
        <v>54</v>
      </c>
      <c r="K526" s="1" t="s">
        <v>46</v>
      </c>
      <c r="L526" s="2">
        <v>45698</v>
      </c>
      <c r="M526" s="2">
        <v>45735</v>
      </c>
      <c r="N526">
        <v>1421793</v>
      </c>
      <c r="O526">
        <v>54929</v>
      </c>
      <c r="P526">
        <v>1366864</v>
      </c>
      <c r="Q526" s="1" t="s">
        <v>47</v>
      </c>
      <c r="R526" s="1" t="s">
        <v>109</v>
      </c>
      <c r="S526" s="1" t="s">
        <v>37</v>
      </c>
      <c r="T526" s="1" t="s">
        <v>37</v>
      </c>
      <c r="U526">
        <v>4.5999999999999996</v>
      </c>
      <c r="V526" t="s">
        <v>38</v>
      </c>
      <c r="W526">
        <v>3</v>
      </c>
      <c r="X526" s="1" t="s">
        <v>96</v>
      </c>
    </row>
    <row r="527" spans="1:24" x14ac:dyDescent="0.55000000000000004">
      <c r="A527" s="1" t="s">
        <v>611</v>
      </c>
      <c r="B527" s="1" t="s">
        <v>93</v>
      </c>
      <c r="C527">
        <v>27</v>
      </c>
      <c r="D527" s="1" t="s">
        <v>26</v>
      </c>
      <c r="E527" s="1" t="s">
        <v>90</v>
      </c>
      <c r="F527" s="1" t="s">
        <v>44</v>
      </c>
      <c r="G527" s="1" t="s">
        <v>29</v>
      </c>
      <c r="H527" s="1" t="s">
        <v>30</v>
      </c>
      <c r="I527" s="1" t="s">
        <v>31</v>
      </c>
      <c r="J527" s="1" t="s">
        <v>54</v>
      </c>
      <c r="K527" s="1" t="s">
        <v>46</v>
      </c>
      <c r="L527" s="2">
        <v>46109</v>
      </c>
      <c r="M527" s="2">
        <v>46139</v>
      </c>
      <c r="N527">
        <v>1740703</v>
      </c>
      <c r="O527">
        <v>73426</v>
      </c>
      <c r="P527">
        <v>1667277</v>
      </c>
      <c r="Q527" s="1" t="s">
        <v>34</v>
      </c>
      <c r="R527" s="1" t="s">
        <v>109</v>
      </c>
      <c r="S527" s="1" t="s">
        <v>36</v>
      </c>
      <c r="T527" s="1" t="s">
        <v>36</v>
      </c>
      <c r="U527">
        <v>3.5</v>
      </c>
      <c r="V527" t="s">
        <v>38</v>
      </c>
      <c r="W527">
        <v>4</v>
      </c>
      <c r="X527" s="1" t="s">
        <v>63</v>
      </c>
    </row>
    <row r="528" spans="1:24" x14ac:dyDescent="0.55000000000000004">
      <c r="A528" s="1" t="s">
        <v>612</v>
      </c>
      <c r="B528" s="1" t="s">
        <v>98</v>
      </c>
      <c r="C528">
        <v>43</v>
      </c>
      <c r="D528" s="1" t="s">
        <v>42</v>
      </c>
      <c r="E528" s="1" t="s">
        <v>27</v>
      </c>
      <c r="F528" s="1" t="s">
        <v>28</v>
      </c>
      <c r="G528" s="1" t="s">
        <v>29</v>
      </c>
      <c r="H528" s="1" t="s">
        <v>65</v>
      </c>
      <c r="I528" s="1" t="s">
        <v>74</v>
      </c>
      <c r="J528" s="1" t="s">
        <v>32</v>
      </c>
      <c r="K528" s="1" t="s">
        <v>33</v>
      </c>
      <c r="L528" s="2">
        <v>46049</v>
      </c>
      <c r="M528" s="2">
        <v>46094</v>
      </c>
      <c r="N528">
        <v>1464236</v>
      </c>
      <c r="O528">
        <v>14107</v>
      </c>
      <c r="P528">
        <v>1450129</v>
      </c>
      <c r="Q528" s="1" t="s">
        <v>34</v>
      </c>
      <c r="R528" s="1" t="s">
        <v>109</v>
      </c>
      <c r="S528" s="1" t="s">
        <v>37</v>
      </c>
      <c r="T528" s="1" t="s">
        <v>37</v>
      </c>
      <c r="U528">
        <v>3.6</v>
      </c>
      <c r="V528" t="s">
        <v>38</v>
      </c>
      <c r="W528">
        <v>3</v>
      </c>
      <c r="X528" s="1" t="s">
        <v>96</v>
      </c>
    </row>
    <row r="529" spans="1:24" x14ac:dyDescent="0.55000000000000004">
      <c r="A529" s="1" t="s">
        <v>613</v>
      </c>
      <c r="B529" s="1" t="s">
        <v>51</v>
      </c>
      <c r="C529">
        <v>27</v>
      </c>
      <c r="D529" s="1" t="s">
        <v>42</v>
      </c>
      <c r="E529" s="1" t="s">
        <v>90</v>
      </c>
      <c r="F529" s="1" t="s">
        <v>44</v>
      </c>
      <c r="G529" s="1" t="s">
        <v>29</v>
      </c>
      <c r="H529" s="1" t="s">
        <v>30</v>
      </c>
      <c r="I529" s="1" t="s">
        <v>53</v>
      </c>
      <c r="J529" s="1" t="s">
        <v>54</v>
      </c>
      <c r="K529" s="1" t="s">
        <v>46</v>
      </c>
      <c r="L529" s="2">
        <v>45695</v>
      </c>
      <c r="M529" s="2">
        <v>45703</v>
      </c>
      <c r="N529">
        <v>1789457</v>
      </c>
      <c r="O529">
        <v>15380</v>
      </c>
      <c r="P529">
        <v>1774077</v>
      </c>
      <c r="Q529" s="1" t="s">
        <v>55</v>
      </c>
      <c r="R529" s="1" t="s">
        <v>109</v>
      </c>
      <c r="S529" s="1" t="s">
        <v>36</v>
      </c>
      <c r="T529" s="1" t="s">
        <v>36</v>
      </c>
      <c r="U529">
        <v>3.7</v>
      </c>
      <c r="V529" t="s">
        <v>91</v>
      </c>
      <c r="W529">
        <v>2</v>
      </c>
      <c r="X529" s="1" t="s">
        <v>107</v>
      </c>
    </row>
    <row r="530" spans="1:24" x14ac:dyDescent="0.55000000000000004">
      <c r="A530" s="1" t="s">
        <v>614</v>
      </c>
      <c r="B530" s="1" t="s">
        <v>81</v>
      </c>
      <c r="C530">
        <v>36</v>
      </c>
      <c r="D530" s="1" t="s">
        <v>42</v>
      </c>
      <c r="E530" s="1" t="s">
        <v>43</v>
      </c>
      <c r="F530" s="1" t="s">
        <v>44</v>
      </c>
      <c r="G530" s="1" t="s">
        <v>29</v>
      </c>
      <c r="H530" s="1" t="s">
        <v>65</v>
      </c>
      <c r="I530" s="1" t="s">
        <v>31</v>
      </c>
      <c r="J530" s="1" t="s">
        <v>32</v>
      </c>
      <c r="K530" s="1" t="s">
        <v>46</v>
      </c>
      <c r="L530" s="2">
        <v>45920</v>
      </c>
      <c r="M530" s="2">
        <v>45956</v>
      </c>
      <c r="N530">
        <v>1388673</v>
      </c>
      <c r="O530">
        <v>88109</v>
      </c>
      <c r="P530">
        <v>1300564</v>
      </c>
      <c r="Q530" s="1" t="s">
        <v>47</v>
      </c>
      <c r="R530" s="1" t="s">
        <v>79</v>
      </c>
      <c r="S530" s="1" t="s">
        <v>37</v>
      </c>
      <c r="T530" s="1" t="s">
        <v>37</v>
      </c>
      <c r="U530">
        <v>3.2</v>
      </c>
      <c r="V530" t="s">
        <v>38</v>
      </c>
      <c r="W530">
        <v>10</v>
      </c>
      <c r="X530" s="1" t="s">
        <v>75</v>
      </c>
    </row>
    <row r="531" spans="1:24" x14ac:dyDescent="0.55000000000000004">
      <c r="A531" s="1" t="s">
        <v>615</v>
      </c>
      <c r="B531" s="1" t="s">
        <v>62</v>
      </c>
      <c r="C531">
        <v>59</v>
      </c>
      <c r="D531" s="1" t="s">
        <v>42</v>
      </c>
      <c r="E531" s="1" t="s">
        <v>71</v>
      </c>
      <c r="F531" s="1" t="s">
        <v>72</v>
      </c>
      <c r="G531" s="1" t="s">
        <v>29</v>
      </c>
      <c r="H531" s="1" t="s">
        <v>77</v>
      </c>
      <c r="I531" s="1" t="s">
        <v>74</v>
      </c>
      <c r="J531" s="1" t="s">
        <v>54</v>
      </c>
      <c r="K531" s="1" t="s">
        <v>33</v>
      </c>
      <c r="L531" s="2">
        <v>45860</v>
      </c>
      <c r="M531" s="2">
        <v>45901</v>
      </c>
      <c r="N531">
        <v>1641258</v>
      </c>
      <c r="O531">
        <v>18180</v>
      </c>
      <c r="P531">
        <v>1623078</v>
      </c>
      <c r="Q531" s="1" t="s">
        <v>55</v>
      </c>
      <c r="R531" s="1" t="s">
        <v>48</v>
      </c>
      <c r="S531" s="1" t="s">
        <v>37</v>
      </c>
      <c r="T531" s="1" t="s">
        <v>36</v>
      </c>
      <c r="U531">
        <v>3.6</v>
      </c>
      <c r="V531" t="s">
        <v>38</v>
      </c>
      <c r="W531">
        <v>9</v>
      </c>
      <c r="X531" s="1" t="s">
        <v>103</v>
      </c>
    </row>
    <row r="532" spans="1:24" x14ac:dyDescent="0.55000000000000004">
      <c r="A532" s="1" t="s">
        <v>616</v>
      </c>
      <c r="B532" s="1" t="s">
        <v>51</v>
      </c>
      <c r="C532">
        <v>44</v>
      </c>
      <c r="D532" s="1" t="s">
        <v>42</v>
      </c>
      <c r="E532" s="1" t="s">
        <v>71</v>
      </c>
      <c r="F532" s="1" t="s">
        <v>72</v>
      </c>
      <c r="G532" s="1" t="s">
        <v>29</v>
      </c>
      <c r="H532" s="1" t="s">
        <v>30</v>
      </c>
      <c r="I532" s="1" t="s">
        <v>45</v>
      </c>
      <c r="J532" s="1" t="s">
        <v>32</v>
      </c>
      <c r="K532" s="1" t="s">
        <v>33</v>
      </c>
      <c r="L532" s="2">
        <v>46152</v>
      </c>
      <c r="M532" s="2">
        <v>46170</v>
      </c>
      <c r="N532">
        <v>1880507</v>
      </c>
      <c r="O532">
        <v>75913</v>
      </c>
      <c r="P532">
        <v>1804594</v>
      </c>
      <c r="Q532" s="1" t="s">
        <v>47</v>
      </c>
      <c r="R532" s="1" t="s">
        <v>79</v>
      </c>
      <c r="S532" s="1" t="s">
        <v>37</v>
      </c>
      <c r="T532" s="1" t="s">
        <v>37</v>
      </c>
      <c r="U532">
        <v>3.7</v>
      </c>
      <c r="V532" t="s">
        <v>56</v>
      </c>
      <c r="W532">
        <v>5</v>
      </c>
      <c r="X532" s="1" t="s">
        <v>86</v>
      </c>
    </row>
    <row r="533" spans="1:24" x14ac:dyDescent="0.55000000000000004">
      <c r="A533" s="1" t="s">
        <v>617</v>
      </c>
      <c r="B533" s="1" t="s">
        <v>25</v>
      </c>
      <c r="C533">
        <v>47</v>
      </c>
      <c r="D533" s="1" t="s">
        <v>42</v>
      </c>
      <c r="E533" s="1" t="s">
        <v>90</v>
      </c>
      <c r="F533" s="1" t="s">
        <v>44</v>
      </c>
      <c r="G533" s="1" t="s">
        <v>29</v>
      </c>
      <c r="H533" s="1" t="s">
        <v>30</v>
      </c>
      <c r="I533" s="1" t="s">
        <v>59</v>
      </c>
      <c r="J533" s="1" t="s">
        <v>54</v>
      </c>
      <c r="K533" s="1" t="s">
        <v>46</v>
      </c>
      <c r="L533" s="2">
        <v>45994</v>
      </c>
      <c r="M533" s="2">
        <v>46032</v>
      </c>
      <c r="N533">
        <v>1812699</v>
      </c>
      <c r="O533">
        <v>23226</v>
      </c>
      <c r="P533">
        <v>1789473</v>
      </c>
      <c r="Q533" s="1" t="s">
        <v>78</v>
      </c>
      <c r="R533" s="1" t="s">
        <v>79</v>
      </c>
      <c r="S533" s="1" t="s">
        <v>36</v>
      </c>
      <c r="T533" s="1" t="s">
        <v>37</v>
      </c>
      <c r="U533">
        <v>3</v>
      </c>
      <c r="V533" t="s">
        <v>38</v>
      </c>
      <c r="W533">
        <v>1</v>
      </c>
      <c r="X533" s="1" t="s">
        <v>88</v>
      </c>
    </row>
    <row r="534" spans="1:24" x14ac:dyDescent="0.55000000000000004">
      <c r="A534" s="1" t="s">
        <v>618</v>
      </c>
      <c r="B534" s="1" t="s">
        <v>98</v>
      </c>
      <c r="C534">
        <v>51</v>
      </c>
      <c r="D534" s="1" t="s">
        <v>26</v>
      </c>
      <c r="E534" s="1" t="s">
        <v>43</v>
      </c>
      <c r="F534" s="1" t="s">
        <v>44</v>
      </c>
      <c r="G534" s="1" t="s">
        <v>29</v>
      </c>
      <c r="H534" s="1" t="s">
        <v>30</v>
      </c>
      <c r="I534" s="1" t="s">
        <v>45</v>
      </c>
      <c r="J534" s="1" t="s">
        <v>32</v>
      </c>
      <c r="K534" s="1" t="s">
        <v>33</v>
      </c>
      <c r="L534" s="2">
        <v>45888</v>
      </c>
      <c r="M534" s="2">
        <v>45896</v>
      </c>
      <c r="N534">
        <v>1545194</v>
      </c>
      <c r="O534">
        <v>55103</v>
      </c>
      <c r="P534">
        <v>1490091</v>
      </c>
      <c r="Q534" s="1" t="s">
        <v>66</v>
      </c>
      <c r="R534" s="1" t="s">
        <v>48</v>
      </c>
      <c r="S534" s="1" t="s">
        <v>37</v>
      </c>
      <c r="T534" s="1" t="s">
        <v>36</v>
      </c>
      <c r="U534">
        <v>3.6</v>
      </c>
      <c r="V534" t="s">
        <v>91</v>
      </c>
      <c r="W534">
        <v>8</v>
      </c>
      <c r="X534" s="1" t="s">
        <v>57</v>
      </c>
    </row>
    <row r="535" spans="1:24" x14ac:dyDescent="0.55000000000000004">
      <c r="A535" s="1" t="s">
        <v>619</v>
      </c>
      <c r="B535" s="1" t="s">
        <v>105</v>
      </c>
      <c r="C535">
        <v>30</v>
      </c>
      <c r="D535" s="1" t="s">
        <v>42</v>
      </c>
      <c r="E535" s="1" t="s">
        <v>43</v>
      </c>
      <c r="F535" s="1" t="s">
        <v>44</v>
      </c>
      <c r="G535" s="1" t="s">
        <v>29</v>
      </c>
      <c r="H535" s="1" t="s">
        <v>65</v>
      </c>
      <c r="I535" s="1" t="s">
        <v>31</v>
      </c>
      <c r="J535" s="1" t="s">
        <v>32</v>
      </c>
      <c r="K535" s="1" t="s">
        <v>46</v>
      </c>
      <c r="L535" s="2">
        <v>46092</v>
      </c>
      <c r="M535" s="2">
        <v>46126</v>
      </c>
      <c r="N535">
        <v>1551382</v>
      </c>
      <c r="O535">
        <v>62974</v>
      </c>
      <c r="P535">
        <v>1488408</v>
      </c>
      <c r="Q535" s="1" t="s">
        <v>34</v>
      </c>
      <c r="R535" s="1" t="s">
        <v>48</v>
      </c>
      <c r="S535" s="1" t="s">
        <v>36</v>
      </c>
      <c r="T535" s="1" t="s">
        <v>36</v>
      </c>
      <c r="U535">
        <v>3.3</v>
      </c>
      <c r="V535" t="s">
        <v>38</v>
      </c>
      <c r="W535">
        <v>4</v>
      </c>
      <c r="X535" s="1" t="s">
        <v>63</v>
      </c>
    </row>
    <row r="536" spans="1:24" x14ac:dyDescent="0.55000000000000004">
      <c r="A536" s="1" t="s">
        <v>620</v>
      </c>
      <c r="B536" s="1" t="s">
        <v>70</v>
      </c>
      <c r="C536">
        <v>21</v>
      </c>
      <c r="D536" s="1" t="s">
        <v>26</v>
      </c>
      <c r="E536" s="1" t="s">
        <v>43</v>
      </c>
      <c r="F536" s="1" t="s">
        <v>44</v>
      </c>
      <c r="G536" s="1" t="s">
        <v>29</v>
      </c>
      <c r="H536" s="1" t="s">
        <v>30</v>
      </c>
      <c r="I536" s="1" t="s">
        <v>31</v>
      </c>
      <c r="J536" s="1" t="s">
        <v>54</v>
      </c>
      <c r="K536" s="1" t="s">
        <v>33</v>
      </c>
      <c r="L536" s="2">
        <v>46184</v>
      </c>
      <c r="M536" s="2">
        <v>46193</v>
      </c>
      <c r="N536">
        <v>1808914</v>
      </c>
      <c r="O536">
        <v>85042</v>
      </c>
      <c r="P536">
        <v>1723872</v>
      </c>
      <c r="Q536" s="1" t="s">
        <v>47</v>
      </c>
      <c r="R536" s="1" t="s">
        <v>79</v>
      </c>
      <c r="S536" s="1" t="s">
        <v>36</v>
      </c>
      <c r="T536" s="1" t="s">
        <v>36</v>
      </c>
      <c r="U536">
        <v>4.9000000000000004</v>
      </c>
      <c r="V536" t="s">
        <v>91</v>
      </c>
      <c r="W536">
        <v>6</v>
      </c>
      <c r="X536" s="1" t="s">
        <v>68</v>
      </c>
    </row>
    <row r="537" spans="1:24" x14ac:dyDescent="0.55000000000000004">
      <c r="A537" s="1" t="s">
        <v>621</v>
      </c>
      <c r="B537" s="1" t="s">
        <v>41</v>
      </c>
      <c r="C537">
        <v>25</v>
      </c>
      <c r="D537" s="1" t="s">
        <v>26</v>
      </c>
      <c r="E537" s="1" t="s">
        <v>43</v>
      </c>
      <c r="F537" s="1" t="s">
        <v>44</v>
      </c>
      <c r="G537" s="1" t="s">
        <v>29</v>
      </c>
      <c r="H537" s="1" t="s">
        <v>30</v>
      </c>
      <c r="I537" s="1" t="s">
        <v>45</v>
      </c>
      <c r="J537" s="1" t="s">
        <v>54</v>
      </c>
      <c r="K537" s="1" t="s">
        <v>46</v>
      </c>
      <c r="L537" s="2">
        <v>46078</v>
      </c>
      <c r="M537" s="2">
        <v>46118</v>
      </c>
      <c r="N537">
        <v>1346528</v>
      </c>
      <c r="O537">
        <v>68206</v>
      </c>
      <c r="P537">
        <v>1278322</v>
      </c>
      <c r="Q537" s="1" t="s">
        <v>66</v>
      </c>
      <c r="R537" s="1" t="s">
        <v>109</v>
      </c>
      <c r="S537" s="1" t="s">
        <v>36</v>
      </c>
      <c r="T537" s="1" t="s">
        <v>37</v>
      </c>
      <c r="U537">
        <v>4.7</v>
      </c>
      <c r="V537" t="s">
        <v>38</v>
      </c>
      <c r="W537">
        <v>4</v>
      </c>
      <c r="X537" s="1" t="s">
        <v>63</v>
      </c>
    </row>
    <row r="538" spans="1:24" x14ac:dyDescent="0.55000000000000004">
      <c r="A538" s="1" t="s">
        <v>622</v>
      </c>
      <c r="B538" s="1" t="s">
        <v>51</v>
      </c>
      <c r="C538">
        <v>54</v>
      </c>
      <c r="D538" s="1" t="s">
        <v>42</v>
      </c>
      <c r="E538" s="1" t="s">
        <v>52</v>
      </c>
      <c r="F538" s="1" t="s">
        <v>44</v>
      </c>
      <c r="G538" s="1" t="s">
        <v>29</v>
      </c>
      <c r="H538" s="1" t="s">
        <v>77</v>
      </c>
      <c r="I538" s="1" t="s">
        <v>31</v>
      </c>
      <c r="J538" s="1" t="s">
        <v>54</v>
      </c>
      <c r="K538" s="1" t="s">
        <v>46</v>
      </c>
      <c r="L538" s="2">
        <v>45817</v>
      </c>
      <c r="M538" s="2">
        <v>45847</v>
      </c>
      <c r="N538">
        <v>1615508</v>
      </c>
      <c r="O538">
        <v>19917</v>
      </c>
      <c r="P538">
        <v>1595591</v>
      </c>
      <c r="Q538" s="1" t="s">
        <v>78</v>
      </c>
      <c r="R538" s="1" t="s">
        <v>79</v>
      </c>
      <c r="S538" s="1" t="s">
        <v>37</v>
      </c>
      <c r="T538" s="1" t="s">
        <v>37</v>
      </c>
      <c r="U538">
        <v>4.5999999999999996</v>
      </c>
      <c r="V538" t="s">
        <v>38</v>
      </c>
      <c r="W538">
        <v>7</v>
      </c>
      <c r="X538" s="1" t="s">
        <v>39</v>
      </c>
    </row>
    <row r="539" spans="1:24" x14ac:dyDescent="0.55000000000000004">
      <c r="A539" s="1" t="s">
        <v>623</v>
      </c>
      <c r="B539" s="1" t="s">
        <v>62</v>
      </c>
      <c r="C539">
        <v>46</v>
      </c>
      <c r="D539" s="1" t="s">
        <v>26</v>
      </c>
      <c r="E539" s="1" t="s">
        <v>71</v>
      </c>
      <c r="F539" s="1" t="s">
        <v>72</v>
      </c>
      <c r="G539" s="1" t="s">
        <v>29</v>
      </c>
      <c r="H539" s="1" t="s">
        <v>65</v>
      </c>
      <c r="I539" s="1" t="s">
        <v>59</v>
      </c>
      <c r="J539" s="1" t="s">
        <v>54</v>
      </c>
      <c r="K539" s="1" t="s">
        <v>46</v>
      </c>
      <c r="L539" s="2">
        <v>46015</v>
      </c>
      <c r="M539" s="2">
        <v>46045</v>
      </c>
      <c r="N539">
        <v>1799854</v>
      </c>
      <c r="O539">
        <v>44653</v>
      </c>
      <c r="P539">
        <v>1755201</v>
      </c>
      <c r="Q539" s="1" t="s">
        <v>47</v>
      </c>
      <c r="R539" s="1" t="s">
        <v>67</v>
      </c>
      <c r="S539" s="1" t="s">
        <v>36</v>
      </c>
      <c r="T539" s="1" t="s">
        <v>37</v>
      </c>
      <c r="U539">
        <v>4.8</v>
      </c>
      <c r="V539" t="s">
        <v>38</v>
      </c>
      <c r="W539">
        <v>1</v>
      </c>
      <c r="X539" s="1" t="s">
        <v>88</v>
      </c>
    </row>
    <row r="540" spans="1:24" x14ac:dyDescent="0.55000000000000004">
      <c r="A540" s="1" t="s">
        <v>624</v>
      </c>
      <c r="B540" s="1" t="s">
        <v>41</v>
      </c>
      <c r="C540">
        <v>35</v>
      </c>
      <c r="D540" s="1" t="s">
        <v>26</v>
      </c>
      <c r="E540" s="1" t="s">
        <v>52</v>
      </c>
      <c r="F540" s="1" t="s">
        <v>44</v>
      </c>
      <c r="G540" s="1" t="s">
        <v>29</v>
      </c>
      <c r="H540" s="1" t="s">
        <v>65</v>
      </c>
      <c r="I540" s="1" t="s">
        <v>45</v>
      </c>
      <c r="J540" s="1" t="s">
        <v>54</v>
      </c>
      <c r="K540" s="1" t="s">
        <v>33</v>
      </c>
      <c r="L540" s="2">
        <v>45728</v>
      </c>
      <c r="M540" s="2">
        <v>45740</v>
      </c>
      <c r="N540">
        <v>1359497</v>
      </c>
      <c r="O540">
        <v>38476</v>
      </c>
      <c r="P540">
        <v>1321021</v>
      </c>
      <c r="Q540" s="1" t="s">
        <v>66</v>
      </c>
      <c r="R540" s="1" t="s">
        <v>48</v>
      </c>
      <c r="S540" s="1" t="s">
        <v>37</v>
      </c>
      <c r="T540" s="1" t="s">
        <v>36</v>
      </c>
      <c r="U540">
        <v>4.3</v>
      </c>
      <c r="V540" t="s">
        <v>56</v>
      </c>
      <c r="W540">
        <v>3</v>
      </c>
      <c r="X540" s="1" t="s">
        <v>96</v>
      </c>
    </row>
    <row r="541" spans="1:24" x14ac:dyDescent="0.55000000000000004">
      <c r="A541" s="1" t="s">
        <v>625</v>
      </c>
      <c r="B541" s="1" t="s">
        <v>98</v>
      </c>
      <c r="C541">
        <v>58</v>
      </c>
      <c r="D541" s="1" t="s">
        <v>42</v>
      </c>
      <c r="E541" s="1" t="s">
        <v>84</v>
      </c>
      <c r="F541" s="1" t="s">
        <v>85</v>
      </c>
      <c r="G541" s="1" t="s">
        <v>29</v>
      </c>
      <c r="H541" s="1" t="s">
        <v>30</v>
      </c>
      <c r="I541" s="1" t="s">
        <v>74</v>
      </c>
      <c r="J541" s="1" t="s">
        <v>54</v>
      </c>
      <c r="K541" s="1" t="s">
        <v>46</v>
      </c>
      <c r="L541" s="2">
        <v>46107</v>
      </c>
      <c r="M541" s="2">
        <v>46126</v>
      </c>
      <c r="N541">
        <v>1899463</v>
      </c>
      <c r="O541">
        <v>60556</v>
      </c>
      <c r="P541">
        <v>1838907</v>
      </c>
      <c r="Q541" s="1" t="s">
        <v>34</v>
      </c>
      <c r="R541" s="1" t="s">
        <v>48</v>
      </c>
      <c r="S541" s="1" t="s">
        <v>37</v>
      </c>
      <c r="T541" s="1" t="s">
        <v>36</v>
      </c>
      <c r="U541">
        <v>3.2</v>
      </c>
      <c r="V541" t="s">
        <v>56</v>
      </c>
      <c r="W541">
        <v>4</v>
      </c>
      <c r="X541" s="1" t="s">
        <v>63</v>
      </c>
    </row>
    <row r="542" spans="1:24" x14ac:dyDescent="0.55000000000000004">
      <c r="A542" s="1" t="s">
        <v>626</v>
      </c>
      <c r="B542" s="1" t="s">
        <v>51</v>
      </c>
      <c r="C542">
        <v>56</v>
      </c>
      <c r="D542" s="1" t="s">
        <v>26</v>
      </c>
      <c r="E542" s="1" t="s">
        <v>90</v>
      </c>
      <c r="F542" s="1" t="s">
        <v>44</v>
      </c>
      <c r="G542" s="1" t="s">
        <v>29</v>
      </c>
      <c r="H542" s="1" t="s">
        <v>65</v>
      </c>
      <c r="I542" s="1" t="s">
        <v>45</v>
      </c>
      <c r="J542" s="1" t="s">
        <v>32</v>
      </c>
      <c r="K542" s="1" t="s">
        <v>46</v>
      </c>
      <c r="L542" s="2">
        <v>46073</v>
      </c>
      <c r="M542" s="2">
        <v>46083</v>
      </c>
      <c r="N542">
        <v>1808136</v>
      </c>
      <c r="O542">
        <v>49511</v>
      </c>
      <c r="P542">
        <v>1758625</v>
      </c>
      <c r="Q542" s="1" t="s">
        <v>66</v>
      </c>
      <c r="R542" s="1" t="s">
        <v>79</v>
      </c>
      <c r="S542" s="1" t="s">
        <v>37</v>
      </c>
      <c r="T542" s="1" t="s">
        <v>36</v>
      </c>
      <c r="U542">
        <v>4.9000000000000004</v>
      </c>
      <c r="V542" t="s">
        <v>91</v>
      </c>
      <c r="W542">
        <v>3</v>
      </c>
      <c r="X542" s="1" t="s">
        <v>96</v>
      </c>
    </row>
    <row r="543" spans="1:24" x14ac:dyDescent="0.55000000000000004">
      <c r="A543" s="1" t="s">
        <v>627</v>
      </c>
      <c r="B543" s="1" t="s">
        <v>81</v>
      </c>
      <c r="C543">
        <v>53</v>
      </c>
      <c r="D543" s="1" t="s">
        <v>26</v>
      </c>
      <c r="E543" s="1" t="s">
        <v>52</v>
      </c>
      <c r="F543" s="1" t="s">
        <v>44</v>
      </c>
      <c r="G543" s="1" t="s">
        <v>29</v>
      </c>
      <c r="H543" s="1" t="s">
        <v>30</v>
      </c>
      <c r="I543" s="1" t="s">
        <v>31</v>
      </c>
      <c r="J543" s="1" t="s">
        <v>54</v>
      </c>
      <c r="K543" s="1" t="s">
        <v>46</v>
      </c>
      <c r="L543" s="2">
        <v>45822</v>
      </c>
      <c r="M543" s="2">
        <v>45835</v>
      </c>
      <c r="N543">
        <v>1497439</v>
      </c>
      <c r="O543">
        <v>73718</v>
      </c>
      <c r="P543">
        <v>1423721</v>
      </c>
      <c r="Q543" s="1" t="s">
        <v>47</v>
      </c>
      <c r="R543" s="1" t="s">
        <v>79</v>
      </c>
      <c r="S543" s="1" t="s">
        <v>37</v>
      </c>
      <c r="T543" s="1" t="s">
        <v>37</v>
      </c>
      <c r="U543">
        <v>3</v>
      </c>
      <c r="V543" t="s">
        <v>56</v>
      </c>
      <c r="W543">
        <v>6</v>
      </c>
      <c r="X543" s="1" t="s">
        <v>68</v>
      </c>
    </row>
    <row r="544" spans="1:24" x14ac:dyDescent="0.55000000000000004">
      <c r="A544" s="1" t="s">
        <v>628</v>
      </c>
      <c r="B544" s="1" t="s">
        <v>105</v>
      </c>
      <c r="C544">
        <v>50</v>
      </c>
      <c r="D544" s="1" t="s">
        <v>26</v>
      </c>
      <c r="E544" s="1" t="s">
        <v>71</v>
      </c>
      <c r="F544" s="1" t="s">
        <v>72</v>
      </c>
      <c r="G544" s="1" t="s">
        <v>29</v>
      </c>
      <c r="H544" s="1" t="s">
        <v>30</v>
      </c>
      <c r="I544" s="1" t="s">
        <v>74</v>
      </c>
      <c r="J544" s="1" t="s">
        <v>54</v>
      </c>
      <c r="K544" s="1" t="s">
        <v>33</v>
      </c>
      <c r="L544" s="2">
        <v>45883</v>
      </c>
      <c r="M544" s="2">
        <v>45909</v>
      </c>
      <c r="N544">
        <v>1466576</v>
      </c>
      <c r="O544">
        <v>74662</v>
      </c>
      <c r="P544">
        <v>1391914</v>
      </c>
      <c r="Q544" s="1" t="s">
        <v>34</v>
      </c>
      <c r="R544" s="1" t="s">
        <v>109</v>
      </c>
      <c r="S544" s="1" t="s">
        <v>36</v>
      </c>
      <c r="T544" s="1" t="s">
        <v>37</v>
      </c>
      <c r="U544">
        <v>3.4</v>
      </c>
      <c r="V544" t="s">
        <v>38</v>
      </c>
      <c r="W544">
        <v>9</v>
      </c>
      <c r="X544" s="1" t="s">
        <v>103</v>
      </c>
    </row>
    <row r="545" spans="1:24" x14ac:dyDescent="0.55000000000000004">
      <c r="A545" s="1" t="s">
        <v>629</v>
      </c>
      <c r="B545" s="1" t="s">
        <v>62</v>
      </c>
      <c r="C545">
        <v>27</v>
      </c>
      <c r="D545" s="1" t="s">
        <v>42</v>
      </c>
      <c r="E545" s="1" t="s">
        <v>43</v>
      </c>
      <c r="F545" s="1" t="s">
        <v>44</v>
      </c>
      <c r="G545" s="1" t="s">
        <v>29</v>
      </c>
      <c r="H545" s="1" t="s">
        <v>65</v>
      </c>
      <c r="I545" s="1" t="s">
        <v>45</v>
      </c>
      <c r="J545" s="1" t="s">
        <v>32</v>
      </c>
      <c r="K545" s="1" t="s">
        <v>46</v>
      </c>
      <c r="L545" s="2">
        <v>45966</v>
      </c>
      <c r="M545" s="2">
        <v>45996</v>
      </c>
      <c r="N545">
        <v>1746364</v>
      </c>
      <c r="O545">
        <v>26439</v>
      </c>
      <c r="P545">
        <v>1719925</v>
      </c>
      <c r="Q545" s="1" t="s">
        <v>78</v>
      </c>
      <c r="R545" s="1" t="s">
        <v>35</v>
      </c>
      <c r="S545" s="1" t="s">
        <v>37</v>
      </c>
      <c r="T545" s="1" t="s">
        <v>37</v>
      </c>
      <c r="U545">
        <v>3.6</v>
      </c>
      <c r="V545" t="s">
        <v>38</v>
      </c>
      <c r="W545">
        <v>12</v>
      </c>
      <c r="X545" s="1" t="s">
        <v>49</v>
      </c>
    </row>
    <row r="546" spans="1:24" x14ac:dyDescent="0.55000000000000004">
      <c r="A546" s="1" t="s">
        <v>630</v>
      </c>
      <c r="B546" s="1" t="s">
        <v>62</v>
      </c>
      <c r="C546">
        <v>40</v>
      </c>
      <c r="D546" s="1" t="s">
        <v>42</v>
      </c>
      <c r="E546" s="1" t="s">
        <v>71</v>
      </c>
      <c r="F546" s="1" t="s">
        <v>72</v>
      </c>
      <c r="G546" s="1" t="s">
        <v>29</v>
      </c>
      <c r="H546" s="1" t="s">
        <v>65</v>
      </c>
      <c r="I546" s="1" t="s">
        <v>53</v>
      </c>
      <c r="J546" s="1" t="s">
        <v>54</v>
      </c>
      <c r="K546" s="1" t="s">
        <v>46</v>
      </c>
      <c r="L546" s="2">
        <v>45935</v>
      </c>
      <c r="M546" s="2">
        <v>45956</v>
      </c>
      <c r="N546">
        <v>1433530</v>
      </c>
      <c r="O546">
        <v>12650</v>
      </c>
      <c r="P546">
        <v>1420880</v>
      </c>
      <c r="Q546" s="1" t="s">
        <v>47</v>
      </c>
      <c r="R546" s="1" t="s">
        <v>35</v>
      </c>
      <c r="S546" s="1" t="s">
        <v>37</v>
      </c>
      <c r="T546" s="1" t="s">
        <v>37</v>
      </c>
      <c r="U546">
        <v>3.1</v>
      </c>
      <c r="V546" t="s">
        <v>38</v>
      </c>
      <c r="W546">
        <v>10</v>
      </c>
      <c r="X546" s="1" t="s">
        <v>75</v>
      </c>
    </row>
    <row r="547" spans="1:24" x14ac:dyDescent="0.55000000000000004">
      <c r="A547" s="1" t="s">
        <v>631</v>
      </c>
      <c r="B547" s="1" t="s">
        <v>81</v>
      </c>
      <c r="C547">
        <v>55</v>
      </c>
      <c r="D547" s="1" t="s">
        <v>42</v>
      </c>
      <c r="E547" s="1" t="s">
        <v>90</v>
      </c>
      <c r="F547" s="1" t="s">
        <v>44</v>
      </c>
      <c r="G547" s="1" t="s">
        <v>29</v>
      </c>
      <c r="H547" s="1" t="s">
        <v>77</v>
      </c>
      <c r="I547" s="1" t="s">
        <v>59</v>
      </c>
      <c r="J547" s="1" t="s">
        <v>32</v>
      </c>
      <c r="K547" s="1" t="s">
        <v>33</v>
      </c>
      <c r="L547" s="2">
        <v>45928</v>
      </c>
      <c r="M547" s="2">
        <v>45944</v>
      </c>
      <c r="N547">
        <v>1723952</v>
      </c>
      <c r="O547">
        <v>23737</v>
      </c>
      <c r="P547">
        <v>1700215</v>
      </c>
      <c r="Q547" s="1" t="s">
        <v>78</v>
      </c>
      <c r="R547" s="1" t="s">
        <v>48</v>
      </c>
      <c r="S547" s="1" t="s">
        <v>37</v>
      </c>
      <c r="T547" s="1" t="s">
        <v>36</v>
      </c>
      <c r="U547">
        <v>4.4000000000000004</v>
      </c>
      <c r="V547" t="s">
        <v>56</v>
      </c>
      <c r="W547">
        <v>10</v>
      </c>
      <c r="X547" s="1" t="s">
        <v>75</v>
      </c>
    </row>
    <row r="548" spans="1:24" x14ac:dyDescent="0.55000000000000004">
      <c r="A548" s="1" t="s">
        <v>632</v>
      </c>
      <c r="B548" s="1" t="s">
        <v>25</v>
      </c>
      <c r="C548">
        <v>34</v>
      </c>
      <c r="D548" s="1" t="s">
        <v>42</v>
      </c>
      <c r="E548" s="1" t="s">
        <v>52</v>
      </c>
      <c r="F548" s="1" t="s">
        <v>44</v>
      </c>
      <c r="G548" s="1" t="s">
        <v>29</v>
      </c>
      <c r="H548" s="1" t="s">
        <v>65</v>
      </c>
      <c r="I548" s="1" t="s">
        <v>59</v>
      </c>
      <c r="J548" s="1" t="s">
        <v>54</v>
      </c>
      <c r="K548" s="1" t="s">
        <v>46</v>
      </c>
      <c r="L548" s="2">
        <v>46026</v>
      </c>
      <c r="M548" s="2">
        <v>46056</v>
      </c>
      <c r="N548">
        <v>1570815</v>
      </c>
      <c r="O548">
        <v>36289</v>
      </c>
      <c r="P548">
        <v>1534526</v>
      </c>
      <c r="Q548" s="1" t="s">
        <v>47</v>
      </c>
      <c r="R548" s="1" t="s">
        <v>79</v>
      </c>
      <c r="S548" s="1" t="s">
        <v>36</v>
      </c>
      <c r="T548" s="1" t="s">
        <v>36</v>
      </c>
      <c r="U548">
        <v>3.4</v>
      </c>
      <c r="V548" t="s">
        <v>38</v>
      </c>
      <c r="W548">
        <v>2</v>
      </c>
      <c r="X548" s="1" t="s">
        <v>107</v>
      </c>
    </row>
    <row r="549" spans="1:24" x14ac:dyDescent="0.55000000000000004">
      <c r="A549" s="1" t="s">
        <v>633</v>
      </c>
      <c r="B549" s="1" t="s">
        <v>83</v>
      </c>
      <c r="C549">
        <v>45</v>
      </c>
      <c r="D549" s="1" t="s">
        <v>42</v>
      </c>
      <c r="E549" s="1" t="s">
        <v>90</v>
      </c>
      <c r="F549" s="1" t="s">
        <v>44</v>
      </c>
      <c r="G549" s="1" t="s">
        <v>29</v>
      </c>
      <c r="H549" s="1" t="s">
        <v>65</v>
      </c>
      <c r="I549" s="1" t="s">
        <v>59</v>
      </c>
      <c r="J549" s="1" t="s">
        <v>32</v>
      </c>
      <c r="K549" s="1" t="s">
        <v>33</v>
      </c>
      <c r="L549" s="2">
        <v>46070</v>
      </c>
      <c r="M549" s="2">
        <v>46097</v>
      </c>
      <c r="N549">
        <v>1527985</v>
      </c>
      <c r="O549">
        <v>49092</v>
      </c>
      <c r="P549">
        <v>1478893</v>
      </c>
      <c r="Q549" s="1" t="s">
        <v>55</v>
      </c>
      <c r="R549" s="1" t="s">
        <v>35</v>
      </c>
      <c r="S549" s="1" t="s">
        <v>36</v>
      </c>
      <c r="T549" s="1" t="s">
        <v>37</v>
      </c>
      <c r="U549">
        <v>3.1</v>
      </c>
      <c r="V549" t="s">
        <v>38</v>
      </c>
      <c r="W549">
        <v>3</v>
      </c>
      <c r="X549" s="1" t="s">
        <v>96</v>
      </c>
    </row>
    <row r="550" spans="1:24" x14ac:dyDescent="0.55000000000000004">
      <c r="A550" s="1" t="s">
        <v>634</v>
      </c>
      <c r="B550" s="1" t="s">
        <v>70</v>
      </c>
      <c r="C550">
        <v>46</v>
      </c>
      <c r="D550" s="1" t="s">
        <v>26</v>
      </c>
      <c r="E550" s="1" t="s">
        <v>43</v>
      </c>
      <c r="F550" s="1" t="s">
        <v>44</v>
      </c>
      <c r="G550" s="1" t="s">
        <v>29</v>
      </c>
      <c r="H550" s="1" t="s">
        <v>65</v>
      </c>
      <c r="I550" s="1" t="s">
        <v>59</v>
      </c>
      <c r="J550" s="1" t="s">
        <v>54</v>
      </c>
      <c r="K550" s="1" t="s">
        <v>46</v>
      </c>
      <c r="L550" s="2">
        <v>45983</v>
      </c>
      <c r="M550" s="2">
        <v>46014</v>
      </c>
      <c r="N550">
        <v>1304449</v>
      </c>
      <c r="O550">
        <v>97748</v>
      </c>
      <c r="P550">
        <v>1206701</v>
      </c>
      <c r="Q550" s="1" t="s">
        <v>78</v>
      </c>
      <c r="R550" s="1" t="s">
        <v>35</v>
      </c>
      <c r="S550" s="1" t="s">
        <v>37</v>
      </c>
      <c r="T550" s="1" t="s">
        <v>36</v>
      </c>
      <c r="U550">
        <v>3.8</v>
      </c>
      <c r="V550" t="s">
        <v>38</v>
      </c>
      <c r="W550">
        <v>12</v>
      </c>
      <c r="X550" s="1" t="s">
        <v>49</v>
      </c>
    </row>
    <row r="551" spans="1:24" x14ac:dyDescent="0.55000000000000004">
      <c r="A551" s="1" t="s">
        <v>635</v>
      </c>
      <c r="B551" s="1" t="s">
        <v>41</v>
      </c>
      <c r="C551">
        <v>27</v>
      </c>
      <c r="D551" s="1" t="s">
        <v>42</v>
      </c>
      <c r="E551" s="1" t="s">
        <v>90</v>
      </c>
      <c r="F551" s="1" t="s">
        <v>44</v>
      </c>
      <c r="G551" s="1" t="s">
        <v>29</v>
      </c>
      <c r="H551" s="1" t="s">
        <v>30</v>
      </c>
      <c r="I551" s="1" t="s">
        <v>45</v>
      </c>
      <c r="J551" s="1" t="s">
        <v>54</v>
      </c>
      <c r="K551" s="1" t="s">
        <v>33</v>
      </c>
      <c r="L551" s="2">
        <v>45988</v>
      </c>
      <c r="M551" s="2">
        <v>46000</v>
      </c>
      <c r="N551">
        <v>1884082</v>
      </c>
      <c r="O551">
        <v>89033</v>
      </c>
      <c r="P551">
        <v>1795049</v>
      </c>
      <c r="Q551" s="1" t="s">
        <v>34</v>
      </c>
      <c r="R551" s="1" t="s">
        <v>79</v>
      </c>
      <c r="S551" s="1" t="s">
        <v>36</v>
      </c>
      <c r="T551" s="1" t="s">
        <v>37</v>
      </c>
      <c r="U551">
        <v>4.4000000000000004</v>
      </c>
      <c r="V551" t="s">
        <v>56</v>
      </c>
      <c r="W551">
        <v>12</v>
      </c>
      <c r="X551" s="1" t="s">
        <v>49</v>
      </c>
    </row>
    <row r="552" spans="1:24" x14ac:dyDescent="0.55000000000000004">
      <c r="A552" s="1" t="s">
        <v>636</v>
      </c>
      <c r="B552" s="1" t="s">
        <v>81</v>
      </c>
      <c r="C552">
        <v>56</v>
      </c>
      <c r="D552" s="1" t="s">
        <v>26</v>
      </c>
      <c r="E552" s="1" t="s">
        <v>90</v>
      </c>
      <c r="F552" s="1" t="s">
        <v>44</v>
      </c>
      <c r="G552" s="1" t="s">
        <v>29</v>
      </c>
      <c r="H552" s="1" t="s">
        <v>30</v>
      </c>
      <c r="I552" s="1" t="s">
        <v>53</v>
      </c>
      <c r="J552" s="1" t="s">
        <v>54</v>
      </c>
      <c r="K552" s="1" t="s">
        <v>46</v>
      </c>
      <c r="L552" s="2">
        <v>45972</v>
      </c>
      <c r="M552" s="2">
        <v>45994</v>
      </c>
      <c r="N552">
        <v>1465314</v>
      </c>
      <c r="O552">
        <v>12863</v>
      </c>
      <c r="P552">
        <v>1452451</v>
      </c>
      <c r="Q552" s="1" t="s">
        <v>47</v>
      </c>
      <c r="R552" s="1" t="s">
        <v>35</v>
      </c>
      <c r="S552" s="1" t="s">
        <v>36</v>
      </c>
      <c r="T552" s="1" t="s">
        <v>37</v>
      </c>
      <c r="U552">
        <v>3.2</v>
      </c>
      <c r="V552" t="s">
        <v>38</v>
      </c>
      <c r="W552">
        <v>12</v>
      </c>
      <c r="X552" s="1" t="s">
        <v>49</v>
      </c>
    </row>
    <row r="553" spans="1:24" x14ac:dyDescent="0.55000000000000004">
      <c r="A553" s="1" t="s">
        <v>637</v>
      </c>
      <c r="B553" s="1" t="s">
        <v>70</v>
      </c>
      <c r="C553">
        <v>43</v>
      </c>
      <c r="D553" s="1" t="s">
        <v>26</v>
      </c>
      <c r="E553" s="1" t="s">
        <v>71</v>
      </c>
      <c r="F553" s="1" t="s">
        <v>72</v>
      </c>
      <c r="G553" s="1" t="s">
        <v>29</v>
      </c>
      <c r="H553" s="1" t="s">
        <v>30</v>
      </c>
      <c r="I553" s="1" t="s">
        <v>53</v>
      </c>
      <c r="J553" s="1" t="s">
        <v>32</v>
      </c>
      <c r="K553" s="1" t="s">
        <v>33</v>
      </c>
      <c r="L553" s="2">
        <v>46158</v>
      </c>
      <c r="M553" s="2">
        <v>46182</v>
      </c>
      <c r="N553">
        <v>1576927</v>
      </c>
      <c r="O553">
        <v>28302</v>
      </c>
      <c r="P553">
        <v>1548625</v>
      </c>
      <c r="Q553" s="1" t="s">
        <v>34</v>
      </c>
      <c r="R553" s="1" t="s">
        <v>109</v>
      </c>
      <c r="S553" s="1" t="s">
        <v>37</v>
      </c>
      <c r="T553" s="1" t="s">
        <v>36</v>
      </c>
      <c r="U553">
        <v>3.3</v>
      </c>
      <c r="V553" t="s">
        <v>38</v>
      </c>
      <c r="W553">
        <v>6</v>
      </c>
      <c r="X553" s="1" t="s">
        <v>68</v>
      </c>
    </row>
    <row r="554" spans="1:24" x14ac:dyDescent="0.55000000000000004">
      <c r="A554" s="1" t="s">
        <v>638</v>
      </c>
      <c r="B554" s="1" t="s">
        <v>62</v>
      </c>
      <c r="C554">
        <v>59</v>
      </c>
      <c r="D554" s="1" t="s">
        <v>26</v>
      </c>
      <c r="E554" s="1" t="s">
        <v>90</v>
      </c>
      <c r="F554" s="1" t="s">
        <v>44</v>
      </c>
      <c r="G554" s="1" t="s">
        <v>29</v>
      </c>
      <c r="H554" s="1" t="s">
        <v>77</v>
      </c>
      <c r="I554" s="1" t="s">
        <v>74</v>
      </c>
      <c r="J554" s="1" t="s">
        <v>54</v>
      </c>
      <c r="K554" s="1" t="s">
        <v>46</v>
      </c>
      <c r="L554" s="2">
        <v>45844</v>
      </c>
      <c r="M554" s="2">
        <v>45856</v>
      </c>
      <c r="N554">
        <v>1372844</v>
      </c>
      <c r="O554">
        <v>14389</v>
      </c>
      <c r="P554">
        <v>1358455</v>
      </c>
      <c r="Q554" s="1" t="s">
        <v>47</v>
      </c>
      <c r="R554" s="1" t="s">
        <v>48</v>
      </c>
      <c r="S554" s="1" t="s">
        <v>36</v>
      </c>
      <c r="T554" s="1" t="s">
        <v>37</v>
      </c>
      <c r="U554">
        <v>4.9000000000000004</v>
      </c>
      <c r="V554" t="s">
        <v>56</v>
      </c>
      <c r="W554">
        <v>7</v>
      </c>
      <c r="X554" s="1" t="s">
        <v>39</v>
      </c>
    </row>
    <row r="555" spans="1:24" x14ac:dyDescent="0.55000000000000004">
      <c r="A555" s="1" t="s">
        <v>639</v>
      </c>
      <c r="B555" s="1" t="s">
        <v>62</v>
      </c>
      <c r="C555">
        <v>59</v>
      </c>
      <c r="D555" s="1" t="s">
        <v>42</v>
      </c>
      <c r="E555" s="1" t="s">
        <v>43</v>
      </c>
      <c r="F555" s="1" t="s">
        <v>44</v>
      </c>
      <c r="G555" s="1" t="s">
        <v>29</v>
      </c>
      <c r="H555" s="1" t="s">
        <v>65</v>
      </c>
      <c r="I555" s="1" t="s">
        <v>45</v>
      </c>
      <c r="J555" s="1" t="s">
        <v>32</v>
      </c>
      <c r="K555" s="1" t="s">
        <v>46</v>
      </c>
      <c r="L555" s="2">
        <v>45739</v>
      </c>
      <c r="M555" s="2">
        <v>45777</v>
      </c>
      <c r="N555">
        <v>1494557</v>
      </c>
      <c r="O555">
        <v>59177</v>
      </c>
      <c r="P555">
        <v>1435380</v>
      </c>
      <c r="Q555" s="1" t="s">
        <v>55</v>
      </c>
      <c r="R555" s="1" t="s">
        <v>109</v>
      </c>
      <c r="S555" s="1" t="s">
        <v>36</v>
      </c>
      <c r="T555" s="1" t="s">
        <v>36</v>
      </c>
      <c r="U555">
        <v>4.0999999999999996</v>
      </c>
      <c r="V555" t="s">
        <v>38</v>
      </c>
      <c r="W555">
        <v>4</v>
      </c>
      <c r="X555" s="1" t="s">
        <v>63</v>
      </c>
    </row>
    <row r="556" spans="1:24" x14ac:dyDescent="0.55000000000000004">
      <c r="A556" s="1" t="s">
        <v>640</v>
      </c>
      <c r="B556" s="1" t="s">
        <v>41</v>
      </c>
      <c r="C556">
        <v>25</v>
      </c>
      <c r="D556" s="1" t="s">
        <v>26</v>
      </c>
      <c r="E556" s="1" t="s">
        <v>90</v>
      </c>
      <c r="F556" s="1" t="s">
        <v>44</v>
      </c>
      <c r="G556" s="1" t="s">
        <v>29</v>
      </c>
      <c r="H556" s="1" t="s">
        <v>77</v>
      </c>
      <c r="I556" s="1" t="s">
        <v>53</v>
      </c>
      <c r="J556" s="1" t="s">
        <v>32</v>
      </c>
      <c r="K556" s="1" t="s">
        <v>33</v>
      </c>
      <c r="L556" s="2">
        <v>45882</v>
      </c>
      <c r="M556" s="2">
        <v>45892</v>
      </c>
      <c r="N556">
        <v>1464304</v>
      </c>
      <c r="O556">
        <v>22441</v>
      </c>
      <c r="P556">
        <v>1441863</v>
      </c>
      <c r="Q556" s="1" t="s">
        <v>47</v>
      </c>
      <c r="R556" s="1" t="s">
        <v>35</v>
      </c>
      <c r="S556" s="1" t="s">
        <v>36</v>
      </c>
      <c r="T556" s="1" t="s">
        <v>37</v>
      </c>
      <c r="U556">
        <v>3.4</v>
      </c>
      <c r="V556" t="s">
        <v>91</v>
      </c>
      <c r="W556">
        <v>8</v>
      </c>
      <c r="X556" s="1" t="s">
        <v>57</v>
      </c>
    </row>
    <row r="557" spans="1:24" x14ac:dyDescent="0.55000000000000004">
      <c r="A557" s="1" t="s">
        <v>641</v>
      </c>
      <c r="B557" s="1" t="s">
        <v>41</v>
      </c>
      <c r="C557">
        <v>23</v>
      </c>
      <c r="D557" s="1" t="s">
        <v>26</v>
      </c>
      <c r="E557" s="1" t="s">
        <v>71</v>
      </c>
      <c r="F557" s="1" t="s">
        <v>72</v>
      </c>
      <c r="G557" s="1" t="s">
        <v>29</v>
      </c>
      <c r="H557" s="1" t="s">
        <v>65</v>
      </c>
      <c r="I557" s="1" t="s">
        <v>59</v>
      </c>
      <c r="J557" s="1" t="s">
        <v>54</v>
      </c>
      <c r="K557" s="1" t="s">
        <v>46</v>
      </c>
      <c r="L557" s="2">
        <v>45810</v>
      </c>
      <c r="M557" s="2">
        <v>45836</v>
      </c>
      <c r="N557">
        <v>1500456</v>
      </c>
      <c r="O557">
        <v>81566</v>
      </c>
      <c r="P557">
        <v>1418890</v>
      </c>
      <c r="Q557" s="1" t="s">
        <v>55</v>
      </c>
      <c r="R557" s="1" t="s">
        <v>67</v>
      </c>
      <c r="S557" s="1" t="s">
        <v>36</v>
      </c>
      <c r="T557" s="1" t="s">
        <v>37</v>
      </c>
      <c r="U557">
        <v>3.7</v>
      </c>
      <c r="V557" t="s">
        <v>38</v>
      </c>
      <c r="W557">
        <v>6</v>
      </c>
      <c r="X557" s="1" t="s">
        <v>68</v>
      </c>
    </row>
    <row r="558" spans="1:24" x14ac:dyDescent="0.55000000000000004">
      <c r="A558" s="1" t="s">
        <v>642</v>
      </c>
      <c r="B558" s="1" t="s">
        <v>81</v>
      </c>
      <c r="C558">
        <v>29</v>
      </c>
      <c r="D558" s="1" t="s">
        <v>42</v>
      </c>
      <c r="E558" s="1" t="s">
        <v>43</v>
      </c>
      <c r="F558" s="1" t="s">
        <v>44</v>
      </c>
      <c r="G558" s="1" t="s">
        <v>29</v>
      </c>
      <c r="H558" s="1" t="s">
        <v>30</v>
      </c>
      <c r="I558" s="1" t="s">
        <v>74</v>
      </c>
      <c r="J558" s="1" t="s">
        <v>54</v>
      </c>
      <c r="K558" s="1" t="s">
        <v>33</v>
      </c>
      <c r="L558" s="2">
        <v>46162</v>
      </c>
      <c r="M558" s="2">
        <v>46207</v>
      </c>
      <c r="N558">
        <v>1763646</v>
      </c>
      <c r="O558">
        <v>27883</v>
      </c>
      <c r="P558">
        <v>1735763</v>
      </c>
      <c r="Q558" s="1" t="s">
        <v>47</v>
      </c>
      <c r="R558" s="1" t="s">
        <v>79</v>
      </c>
      <c r="S558" s="1" t="s">
        <v>36</v>
      </c>
      <c r="T558" s="1" t="s">
        <v>36</v>
      </c>
      <c r="U558">
        <v>3.4</v>
      </c>
      <c r="V558" t="s">
        <v>38</v>
      </c>
      <c r="W558">
        <v>7</v>
      </c>
      <c r="X558" s="1" t="s">
        <v>39</v>
      </c>
    </row>
    <row r="559" spans="1:24" x14ac:dyDescent="0.55000000000000004">
      <c r="A559" s="1" t="s">
        <v>643</v>
      </c>
      <c r="B559" s="1" t="s">
        <v>41</v>
      </c>
      <c r="C559">
        <v>41</v>
      </c>
      <c r="D559" s="1" t="s">
        <v>26</v>
      </c>
      <c r="E559" s="1" t="s">
        <v>84</v>
      </c>
      <c r="F559" s="1" t="s">
        <v>85</v>
      </c>
      <c r="G559" s="1" t="s">
        <v>29</v>
      </c>
      <c r="H559" s="1" t="s">
        <v>65</v>
      </c>
      <c r="I559" s="1" t="s">
        <v>31</v>
      </c>
      <c r="J559" s="1" t="s">
        <v>32</v>
      </c>
      <c r="K559" s="1" t="s">
        <v>33</v>
      </c>
      <c r="L559" s="2">
        <v>46081</v>
      </c>
      <c r="M559" s="2">
        <v>46091</v>
      </c>
      <c r="N559">
        <v>1386334</v>
      </c>
      <c r="O559">
        <v>26139</v>
      </c>
      <c r="P559">
        <v>1360195</v>
      </c>
      <c r="Q559" s="1" t="s">
        <v>78</v>
      </c>
      <c r="R559" s="1" t="s">
        <v>79</v>
      </c>
      <c r="S559" s="1" t="s">
        <v>36</v>
      </c>
      <c r="T559" s="1" t="s">
        <v>37</v>
      </c>
      <c r="U559">
        <v>3.7</v>
      </c>
      <c r="V559" t="s">
        <v>91</v>
      </c>
      <c r="W559">
        <v>3</v>
      </c>
      <c r="X559" s="1" t="s">
        <v>96</v>
      </c>
    </row>
    <row r="560" spans="1:24" x14ac:dyDescent="0.55000000000000004">
      <c r="A560" s="1" t="s">
        <v>644</v>
      </c>
      <c r="B560" s="1" t="s">
        <v>105</v>
      </c>
      <c r="C560">
        <v>40</v>
      </c>
      <c r="D560" s="1" t="s">
        <v>42</v>
      </c>
      <c r="E560" s="1" t="s">
        <v>27</v>
      </c>
      <c r="F560" s="1" t="s">
        <v>28</v>
      </c>
      <c r="G560" s="1" t="s">
        <v>29</v>
      </c>
      <c r="H560" s="1" t="s">
        <v>65</v>
      </c>
      <c r="I560" s="1" t="s">
        <v>53</v>
      </c>
      <c r="J560" s="1" t="s">
        <v>32</v>
      </c>
      <c r="K560" s="1" t="s">
        <v>46</v>
      </c>
      <c r="L560" s="2">
        <v>45877</v>
      </c>
      <c r="M560" s="2">
        <v>45889</v>
      </c>
      <c r="N560">
        <v>1434934</v>
      </c>
      <c r="O560">
        <v>69734</v>
      </c>
      <c r="P560">
        <v>1365200</v>
      </c>
      <c r="Q560" s="1" t="s">
        <v>66</v>
      </c>
      <c r="R560" s="1" t="s">
        <v>79</v>
      </c>
      <c r="S560" s="1" t="s">
        <v>37</v>
      </c>
      <c r="T560" s="1" t="s">
        <v>37</v>
      </c>
      <c r="U560">
        <v>4.7</v>
      </c>
      <c r="V560" t="s">
        <v>56</v>
      </c>
      <c r="W560">
        <v>8</v>
      </c>
      <c r="X560" s="1" t="s">
        <v>57</v>
      </c>
    </row>
    <row r="561" spans="1:24" x14ac:dyDescent="0.55000000000000004">
      <c r="A561" s="1" t="s">
        <v>645</v>
      </c>
      <c r="B561" s="1" t="s">
        <v>83</v>
      </c>
      <c r="C561">
        <v>43</v>
      </c>
      <c r="D561" s="1" t="s">
        <v>26</v>
      </c>
      <c r="E561" s="1" t="s">
        <v>90</v>
      </c>
      <c r="F561" s="1" t="s">
        <v>44</v>
      </c>
      <c r="G561" s="1" t="s">
        <v>29</v>
      </c>
      <c r="H561" s="1" t="s">
        <v>65</v>
      </c>
      <c r="I561" s="1" t="s">
        <v>53</v>
      </c>
      <c r="J561" s="1" t="s">
        <v>54</v>
      </c>
      <c r="K561" s="1" t="s">
        <v>33</v>
      </c>
      <c r="L561" s="2">
        <v>45835</v>
      </c>
      <c r="M561" s="2">
        <v>45870</v>
      </c>
      <c r="N561">
        <v>1353677</v>
      </c>
      <c r="O561">
        <v>40754</v>
      </c>
      <c r="P561">
        <v>1312923</v>
      </c>
      <c r="Q561" s="1" t="s">
        <v>78</v>
      </c>
      <c r="R561" s="1" t="s">
        <v>109</v>
      </c>
      <c r="S561" s="1" t="s">
        <v>37</v>
      </c>
      <c r="T561" s="1" t="s">
        <v>36</v>
      </c>
      <c r="U561">
        <v>3.2</v>
      </c>
      <c r="V561" t="s">
        <v>38</v>
      </c>
      <c r="W561">
        <v>8</v>
      </c>
      <c r="X561" s="1" t="s">
        <v>57</v>
      </c>
    </row>
    <row r="562" spans="1:24" x14ac:dyDescent="0.55000000000000004">
      <c r="A562" s="1" t="s">
        <v>646</v>
      </c>
      <c r="B562" s="1" t="s">
        <v>51</v>
      </c>
      <c r="C562">
        <v>51</v>
      </c>
      <c r="D562" s="1" t="s">
        <v>26</v>
      </c>
      <c r="E562" s="1" t="s">
        <v>27</v>
      </c>
      <c r="F562" s="1" t="s">
        <v>28</v>
      </c>
      <c r="G562" s="1" t="s">
        <v>29</v>
      </c>
      <c r="H562" s="1" t="s">
        <v>65</v>
      </c>
      <c r="I562" s="1" t="s">
        <v>74</v>
      </c>
      <c r="J562" s="1" t="s">
        <v>54</v>
      </c>
      <c r="K562" s="1" t="s">
        <v>46</v>
      </c>
      <c r="L562" s="2">
        <v>46114</v>
      </c>
      <c r="M562" s="2">
        <v>46121</v>
      </c>
      <c r="N562">
        <v>1493119</v>
      </c>
      <c r="O562">
        <v>22721</v>
      </c>
      <c r="P562">
        <v>1470398</v>
      </c>
      <c r="Q562" s="1" t="s">
        <v>34</v>
      </c>
      <c r="R562" s="1" t="s">
        <v>79</v>
      </c>
      <c r="S562" s="1" t="s">
        <v>37</v>
      </c>
      <c r="T562" s="1" t="s">
        <v>36</v>
      </c>
      <c r="U562">
        <v>4.8</v>
      </c>
      <c r="V562" t="s">
        <v>91</v>
      </c>
      <c r="W562">
        <v>4</v>
      </c>
      <c r="X562" s="1" t="s">
        <v>63</v>
      </c>
    </row>
    <row r="563" spans="1:24" x14ac:dyDescent="0.55000000000000004">
      <c r="A563" s="1" t="s">
        <v>647</v>
      </c>
      <c r="B563" s="1" t="s">
        <v>51</v>
      </c>
      <c r="C563">
        <v>24</v>
      </c>
      <c r="D563" s="1" t="s">
        <v>26</v>
      </c>
      <c r="E563" s="1" t="s">
        <v>43</v>
      </c>
      <c r="F563" s="1" t="s">
        <v>44</v>
      </c>
      <c r="G563" s="1" t="s">
        <v>29</v>
      </c>
      <c r="H563" s="1" t="s">
        <v>65</v>
      </c>
      <c r="I563" s="1" t="s">
        <v>45</v>
      </c>
      <c r="J563" s="1" t="s">
        <v>32</v>
      </c>
      <c r="K563" s="1" t="s">
        <v>46</v>
      </c>
      <c r="L563" s="2">
        <v>45938</v>
      </c>
      <c r="M563" s="2">
        <v>45952</v>
      </c>
      <c r="N563">
        <v>1785828</v>
      </c>
      <c r="O563">
        <v>82277</v>
      </c>
      <c r="P563">
        <v>1703551</v>
      </c>
      <c r="Q563" s="1" t="s">
        <v>34</v>
      </c>
      <c r="R563" s="1" t="s">
        <v>67</v>
      </c>
      <c r="S563" s="1" t="s">
        <v>36</v>
      </c>
      <c r="T563" s="1" t="s">
        <v>36</v>
      </c>
      <c r="U563">
        <v>4.8</v>
      </c>
      <c r="V563" t="s">
        <v>56</v>
      </c>
      <c r="W563">
        <v>10</v>
      </c>
      <c r="X563" s="1" t="s">
        <v>75</v>
      </c>
    </row>
    <row r="564" spans="1:24" x14ac:dyDescent="0.55000000000000004">
      <c r="A564" s="1" t="s">
        <v>648</v>
      </c>
      <c r="B564" s="1" t="s">
        <v>98</v>
      </c>
      <c r="C564">
        <v>56</v>
      </c>
      <c r="D564" s="1" t="s">
        <v>42</v>
      </c>
      <c r="E564" s="1" t="s">
        <v>43</v>
      </c>
      <c r="F564" s="1" t="s">
        <v>44</v>
      </c>
      <c r="G564" s="1" t="s">
        <v>29</v>
      </c>
      <c r="H564" s="1" t="s">
        <v>65</v>
      </c>
      <c r="I564" s="1" t="s">
        <v>45</v>
      </c>
      <c r="J564" s="1" t="s">
        <v>32</v>
      </c>
      <c r="K564" s="1" t="s">
        <v>46</v>
      </c>
      <c r="L564" s="2">
        <v>45847</v>
      </c>
      <c r="M564" s="2">
        <v>45866</v>
      </c>
      <c r="N564">
        <v>1345933</v>
      </c>
      <c r="O564">
        <v>15250</v>
      </c>
      <c r="P564">
        <v>1330683</v>
      </c>
      <c r="Q564" s="1" t="s">
        <v>34</v>
      </c>
      <c r="R564" s="1" t="s">
        <v>67</v>
      </c>
      <c r="S564" s="1" t="s">
        <v>37</v>
      </c>
      <c r="T564" s="1" t="s">
        <v>37</v>
      </c>
      <c r="U564">
        <v>4.7</v>
      </c>
      <c r="V564" t="s">
        <v>56</v>
      </c>
      <c r="W564">
        <v>7</v>
      </c>
      <c r="X564" s="1" t="s">
        <v>39</v>
      </c>
    </row>
    <row r="565" spans="1:24" x14ac:dyDescent="0.55000000000000004">
      <c r="A565" s="1" t="s">
        <v>649</v>
      </c>
      <c r="B565" s="1" t="s">
        <v>51</v>
      </c>
      <c r="C565">
        <v>26</v>
      </c>
      <c r="D565" s="1" t="s">
        <v>26</v>
      </c>
      <c r="E565" s="1" t="s">
        <v>52</v>
      </c>
      <c r="F565" s="1" t="s">
        <v>44</v>
      </c>
      <c r="G565" s="1" t="s">
        <v>29</v>
      </c>
      <c r="H565" s="1" t="s">
        <v>77</v>
      </c>
      <c r="I565" s="1" t="s">
        <v>31</v>
      </c>
      <c r="J565" s="1" t="s">
        <v>32</v>
      </c>
      <c r="K565" s="1" t="s">
        <v>33</v>
      </c>
      <c r="L565" s="2">
        <v>46129</v>
      </c>
      <c r="M565" s="2">
        <v>46148</v>
      </c>
      <c r="N565">
        <v>1521242</v>
      </c>
      <c r="O565">
        <v>76066</v>
      </c>
      <c r="P565">
        <v>1445176</v>
      </c>
      <c r="Q565" s="1" t="s">
        <v>66</v>
      </c>
      <c r="R565" s="1" t="s">
        <v>35</v>
      </c>
      <c r="S565" s="1" t="s">
        <v>37</v>
      </c>
      <c r="T565" s="1" t="s">
        <v>36</v>
      </c>
      <c r="U565">
        <v>4.3</v>
      </c>
      <c r="V565" t="s">
        <v>56</v>
      </c>
      <c r="W565">
        <v>5</v>
      </c>
      <c r="X565" s="1" t="s">
        <v>86</v>
      </c>
    </row>
    <row r="566" spans="1:24" x14ac:dyDescent="0.55000000000000004">
      <c r="A566" s="1" t="s">
        <v>650</v>
      </c>
      <c r="B566" s="1" t="s">
        <v>83</v>
      </c>
      <c r="C566">
        <v>22</v>
      </c>
      <c r="D566" s="1" t="s">
        <v>26</v>
      </c>
      <c r="E566" s="1" t="s">
        <v>52</v>
      </c>
      <c r="F566" s="1" t="s">
        <v>44</v>
      </c>
      <c r="G566" s="1" t="s">
        <v>29</v>
      </c>
      <c r="H566" s="1" t="s">
        <v>65</v>
      </c>
      <c r="I566" s="1" t="s">
        <v>74</v>
      </c>
      <c r="J566" s="1" t="s">
        <v>32</v>
      </c>
      <c r="K566" s="1" t="s">
        <v>33</v>
      </c>
      <c r="L566" s="2">
        <v>46021</v>
      </c>
      <c r="M566" s="2">
        <v>46061</v>
      </c>
      <c r="N566">
        <v>1889229</v>
      </c>
      <c r="O566">
        <v>24252</v>
      </c>
      <c r="P566">
        <v>1864977</v>
      </c>
      <c r="Q566" s="1" t="s">
        <v>55</v>
      </c>
      <c r="R566" s="1" t="s">
        <v>48</v>
      </c>
      <c r="S566" s="1" t="s">
        <v>36</v>
      </c>
      <c r="T566" s="1" t="s">
        <v>36</v>
      </c>
      <c r="U566">
        <v>3.9</v>
      </c>
      <c r="V566" t="s">
        <v>38</v>
      </c>
      <c r="W566">
        <v>2</v>
      </c>
      <c r="X566" s="1" t="s">
        <v>107</v>
      </c>
    </row>
    <row r="567" spans="1:24" x14ac:dyDescent="0.55000000000000004">
      <c r="A567" s="1" t="s">
        <v>651</v>
      </c>
      <c r="B567" s="1" t="s">
        <v>81</v>
      </c>
      <c r="C567">
        <v>33</v>
      </c>
      <c r="D567" s="1" t="s">
        <v>26</v>
      </c>
      <c r="E567" s="1" t="s">
        <v>84</v>
      </c>
      <c r="F567" s="1" t="s">
        <v>85</v>
      </c>
      <c r="G567" s="1" t="s">
        <v>29</v>
      </c>
      <c r="H567" s="1" t="s">
        <v>65</v>
      </c>
      <c r="I567" s="1" t="s">
        <v>45</v>
      </c>
      <c r="J567" s="1" t="s">
        <v>32</v>
      </c>
      <c r="K567" s="1" t="s">
        <v>46</v>
      </c>
      <c r="L567" s="2">
        <v>45919</v>
      </c>
      <c r="M567" s="2">
        <v>45960</v>
      </c>
      <c r="N567">
        <v>1705438</v>
      </c>
      <c r="O567">
        <v>44363</v>
      </c>
      <c r="P567">
        <v>1661075</v>
      </c>
      <c r="Q567" s="1" t="s">
        <v>66</v>
      </c>
      <c r="R567" s="1" t="s">
        <v>79</v>
      </c>
      <c r="S567" s="1" t="s">
        <v>37</v>
      </c>
      <c r="T567" s="1" t="s">
        <v>37</v>
      </c>
      <c r="U567">
        <v>5</v>
      </c>
      <c r="V567" t="s">
        <v>38</v>
      </c>
      <c r="W567">
        <v>10</v>
      </c>
      <c r="X567" s="1" t="s">
        <v>75</v>
      </c>
    </row>
    <row r="568" spans="1:24" x14ac:dyDescent="0.55000000000000004">
      <c r="A568" s="1" t="s">
        <v>652</v>
      </c>
      <c r="B568" s="1" t="s">
        <v>70</v>
      </c>
      <c r="C568">
        <v>42</v>
      </c>
      <c r="D568" s="1" t="s">
        <v>42</v>
      </c>
      <c r="E568" s="1" t="s">
        <v>27</v>
      </c>
      <c r="F568" s="1" t="s">
        <v>28</v>
      </c>
      <c r="G568" s="1" t="s">
        <v>29</v>
      </c>
      <c r="H568" s="1" t="s">
        <v>30</v>
      </c>
      <c r="I568" s="1" t="s">
        <v>53</v>
      </c>
      <c r="J568" s="1" t="s">
        <v>32</v>
      </c>
      <c r="K568" s="1" t="s">
        <v>33</v>
      </c>
      <c r="L568" s="2">
        <v>46190</v>
      </c>
      <c r="M568" s="2">
        <v>46221</v>
      </c>
      <c r="N568">
        <v>1361253</v>
      </c>
      <c r="O568">
        <v>83119</v>
      </c>
      <c r="P568">
        <v>1278134</v>
      </c>
      <c r="Q568" s="1" t="s">
        <v>47</v>
      </c>
      <c r="R568" s="1" t="s">
        <v>48</v>
      </c>
      <c r="S568" s="1" t="s">
        <v>36</v>
      </c>
      <c r="T568" s="1" t="s">
        <v>36</v>
      </c>
      <c r="U568">
        <v>3.1</v>
      </c>
      <c r="V568" t="s">
        <v>38</v>
      </c>
      <c r="W568">
        <v>7</v>
      </c>
      <c r="X568" s="1" t="s">
        <v>39</v>
      </c>
    </row>
    <row r="569" spans="1:24" x14ac:dyDescent="0.55000000000000004">
      <c r="A569" s="1" t="s">
        <v>653</v>
      </c>
      <c r="B569" s="1" t="s">
        <v>83</v>
      </c>
      <c r="C569">
        <v>26</v>
      </c>
      <c r="D569" s="1" t="s">
        <v>42</v>
      </c>
      <c r="E569" s="1" t="s">
        <v>27</v>
      </c>
      <c r="F569" s="1" t="s">
        <v>28</v>
      </c>
      <c r="G569" s="1" t="s">
        <v>29</v>
      </c>
      <c r="H569" s="1" t="s">
        <v>65</v>
      </c>
      <c r="I569" s="1" t="s">
        <v>74</v>
      </c>
      <c r="J569" s="1" t="s">
        <v>32</v>
      </c>
      <c r="K569" s="1" t="s">
        <v>46</v>
      </c>
      <c r="L569" s="2">
        <v>45743</v>
      </c>
      <c r="M569" s="2">
        <v>45768</v>
      </c>
      <c r="N569">
        <v>1607038</v>
      </c>
      <c r="O569">
        <v>86661</v>
      </c>
      <c r="P569">
        <v>1520377</v>
      </c>
      <c r="Q569" s="1" t="s">
        <v>55</v>
      </c>
      <c r="R569" s="1" t="s">
        <v>35</v>
      </c>
      <c r="S569" s="1" t="s">
        <v>36</v>
      </c>
      <c r="T569" s="1" t="s">
        <v>37</v>
      </c>
      <c r="U569">
        <v>4</v>
      </c>
      <c r="V569" t="s">
        <v>38</v>
      </c>
      <c r="W569">
        <v>4</v>
      </c>
      <c r="X569" s="1" t="s">
        <v>63</v>
      </c>
    </row>
    <row r="570" spans="1:24" x14ac:dyDescent="0.55000000000000004">
      <c r="A570" s="1" t="s">
        <v>654</v>
      </c>
      <c r="B570" s="1" t="s">
        <v>70</v>
      </c>
      <c r="C570">
        <v>36</v>
      </c>
      <c r="D570" s="1" t="s">
        <v>26</v>
      </c>
      <c r="E570" s="1" t="s">
        <v>71</v>
      </c>
      <c r="F570" s="1" t="s">
        <v>72</v>
      </c>
      <c r="G570" s="1" t="s">
        <v>29</v>
      </c>
      <c r="H570" s="1" t="s">
        <v>65</v>
      </c>
      <c r="I570" s="1" t="s">
        <v>45</v>
      </c>
      <c r="J570" s="1" t="s">
        <v>32</v>
      </c>
      <c r="K570" s="1" t="s">
        <v>33</v>
      </c>
      <c r="L570" s="2">
        <v>45812</v>
      </c>
      <c r="M570" s="2">
        <v>45833</v>
      </c>
      <c r="N570">
        <v>1304438</v>
      </c>
      <c r="O570">
        <v>85664</v>
      </c>
      <c r="P570">
        <v>1218774</v>
      </c>
      <c r="Q570" s="1" t="s">
        <v>47</v>
      </c>
      <c r="R570" s="1" t="s">
        <v>48</v>
      </c>
      <c r="S570" s="1" t="s">
        <v>37</v>
      </c>
      <c r="T570" s="1" t="s">
        <v>37</v>
      </c>
      <c r="U570">
        <v>4.2</v>
      </c>
      <c r="V570" t="s">
        <v>38</v>
      </c>
      <c r="W570">
        <v>6</v>
      </c>
      <c r="X570" s="1" t="s">
        <v>68</v>
      </c>
    </row>
    <row r="571" spans="1:24" x14ac:dyDescent="0.55000000000000004">
      <c r="A571" s="1" t="s">
        <v>655</v>
      </c>
      <c r="B571" s="1" t="s">
        <v>98</v>
      </c>
      <c r="C571">
        <v>42</v>
      </c>
      <c r="D571" s="1" t="s">
        <v>42</v>
      </c>
      <c r="E571" s="1" t="s">
        <v>90</v>
      </c>
      <c r="F571" s="1" t="s">
        <v>44</v>
      </c>
      <c r="G571" s="1" t="s">
        <v>29</v>
      </c>
      <c r="H571" s="1" t="s">
        <v>65</v>
      </c>
      <c r="I571" s="1" t="s">
        <v>45</v>
      </c>
      <c r="J571" s="1" t="s">
        <v>54</v>
      </c>
      <c r="K571" s="1" t="s">
        <v>46</v>
      </c>
      <c r="L571" s="2">
        <v>46015</v>
      </c>
      <c r="M571" s="2">
        <v>46035</v>
      </c>
      <c r="N571">
        <v>1317072</v>
      </c>
      <c r="O571">
        <v>54540</v>
      </c>
      <c r="P571">
        <v>1262532</v>
      </c>
      <c r="Q571" s="1" t="s">
        <v>34</v>
      </c>
      <c r="R571" s="1" t="s">
        <v>67</v>
      </c>
      <c r="S571" s="1" t="s">
        <v>37</v>
      </c>
      <c r="T571" s="1" t="s">
        <v>37</v>
      </c>
      <c r="U571">
        <v>4.2</v>
      </c>
      <c r="V571" t="s">
        <v>56</v>
      </c>
      <c r="W571">
        <v>1</v>
      </c>
      <c r="X571" s="1" t="s">
        <v>88</v>
      </c>
    </row>
    <row r="572" spans="1:24" x14ac:dyDescent="0.55000000000000004">
      <c r="A572" s="1" t="s">
        <v>656</v>
      </c>
      <c r="B572" s="1" t="s">
        <v>83</v>
      </c>
      <c r="C572">
        <v>29</v>
      </c>
      <c r="D572" s="1" t="s">
        <v>42</v>
      </c>
      <c r="E572" s="1" t="s">
        <v>52</v>
      </c>
      <c r="F572" s="1" t="s">
        <v>44</v>
      </c>
      <c r="G572" s="1" t="s">
        <v>29</v>
      </c>
      <c r="H572" s="1" t="s">
        <v>65</v>
      </c>
      <c r="I572" s="1" t="s">
        <v>74</v>
      </c>
      <c r="J572" s="1" t="s">
        <v>54</v>
      </c>
      <c r="K572" s="1" t="s">
        <v>46</v>
      </c>
      <c r="L572" s="2">
        <v>45756</v>
      </c>
      <c r="M572" s="2">
        <v>45775</v>
      </c>
      <c r="N572">
        <v>1852362</v>
      </c>
      <c r="O572">
        <v>53625</v>
      </c>
      <c r="P572">
        <v>1798737</v>
      </c>
      <c r="Q572" s="1" t="s">
        <v>55</v>
      </c>
      <c r="R572" s="1" t="s">
        <v>109</v>
      </c>
      <c r="S572" s="1" t="s">
        <v>36</v>
      </c>
      <c r="T572" s="1" t="s">
        <v>36</v>
      </c>
      <c r="U572">
        <v>3.6</v>
      </c>
      <c r="V572" t="s">
        <v>56</v>
      </c>
      <c r="W572">
        <v>4</v>
      </c>
      <c r="X572" s="1" t="s">
        <v>63</v>
      </c>
    </row>
    <row r="573" spans="1:24" x14ac:dyDescent="0.55000000000000004">
      <c r="A573" s="1" t="s">
        <v>657</v>
      </c>
      <c r="B573" s="1" t="s">
        <v>62</v>
      </c>
      <c r="C573">
        <v>52</v>
      </c>
      <c r="D573" s="1" t="s">
        <v>26</v>
      </c>
      <c r="E573" s="1" t="s">
        <v>90</v>
      </c>
      <c r="F573" s="1" t="s">
        <v>44</v>
      </c>
      <c r="G573" s="1" t="s">
        <v>29</v>
      </c>
      <c r="H573" s="1" t="s">
        <v>65</v>
      </c>
      <c r="I573" s="1" t="s">
        <v>74</v>
      </c>
      <c r="J573" s="1" t="s">
        <v>54</v>
      </c>
      <c r="K573" s="1" t="s">
        <v>46</v>
      </c>
      <c r="L573" s="2">
        <v>45836</v>
      </c>
      <c r="M573" s="2">
        <v>45861</v>
      </c>
      <c r="N573">
        <v>1367212</v>
      </c>
      <c r="O573">
        <v>42613</v>
      </c>
      <c r="P573">
        <v>1324599</v>
      </c>
      <c r="Q573" s="1" t="s">
        <v>55</v>
      </c>
      <c r="R573" s="1" t="s">
        <v>109</v>
      </c>
      <c r="S573" s="1" t="s">
        <v>37</v>
      </c>
      <c r="T573" s="1" t="s">
        <v>36</v>
      </c>
      <c r="U573">
        <v>4.8</v>
      </c>
      <c r="V573" t="s">
        <v>38</v>
      </c>
      <c r="W573">
        <v>7</v>
      </c>
      <c r="X573" s="1" t="s">
        <v>39</v>
      </c>
    </row>
    <row r="574" spans="1:24" x14ac:dyDescent="0.55000000000000004">
      <c r="A574" s="1" t="s">
        <v>658</v>
      </c>
      <c r="B574" s="1" t="s">
        <v>70</v>
      </c>
      <c r="C574">
        <v>27</v>
      </c>
      <c r="D574" s="1" t="s">
        <v>42</v>
      </c>
      <c r="E574" s="1" t="s">
        <v>27</v>
      </c>
      <c r="F574" s="1" t="s">
        <v>28</v>
      </c>
      <c r="G574" s="1" t="s">
        <v>29</v>
      </c>
      <c r="H574" s="1" t="s">
        <v>77</v>
      </c>
      <c r="I574" s="1" t="s">
        <v>53</v>
      </c>
      <c r="J574" s="1" t="s">
        <v>32</v>
      </c>
      <c r="K574" s="1" t="s">
        <v>46</v>
      </c>
      <c r="L574" s="2">
        <v>45704</v>
      </c>
      <c r="M574" s="2">
        <v>45722</v>
      </c>
      <c r="N574">
        <v>1703193</v>
      </c>
      <c r="O574">
        <v>54322</v>
      </c>
      <c r="P574">
        <v>1648871</v>
      </c>
      <c r="Q574" s="1" t="s">
        <v>34</v>
      </c>
      <c r="R574" s="1" t="s">
        <v>35</v>
      </c>
      <c r="S574" s="1" t="s">
        <v>37</v>
      </c>
      <c r="T574" s="1" t="s">
        <v>36</v>
      </c>
      <c r="U574">
        <v>3.7</v>
      </c>
      <c r="V574" t="s">
        <v>56</v>
      </c>
      <c r="W574">
        <v>3</v>
      </c>
      <c r="X574" s="1" t="s">
        <v>96</v>
      </c>
    </row>
    <row r="575" spans="1:24" x14ac:dyDescent="0.55000000000000004">
      <c r="A575" s="1" t="s">
        <v>659</v>
      </c>
      <c r="B575" s="1" t="s">
        <v>105</v>
      </c>
      <c r="C575">
        <v>29</v>
      </c>
      <c r="D575" s="1" t="s">
        <v>42</v>
      </c>
      <c r="E575" s="1" t="s">
        <v>90</v>
      </c>
      <c r="F575" s="1" t="s">
        <v>44</v>
      </c>
      <c r="G575" s="1" t="s">
        <v>29</v>
      </c>
      <c r="H575" s="1" t="s">
        <v>30</v>
      </c>
      <c r="I575" s="1" t="s">
        <v>45</v>
      </c>
      <c r="J575" s="1" t="s">
        <v>32</v>
      </c>
      <c r="K575" s="1" t="s">
        <v>46</v>
      </c>
      <c r="L575" s="2">
        <v>45779</v>
      </c>
      <c r="M575" s="2">
        <v>45820</v>
      </c>
      <c r="N575">
        <v>1528752</v>
      </c>
      <c r="O575">
        <v>10243</v>
      </c>
      <c r="P575">
        <v>1518509</v>
      </c>
      <c r="Q575" s="1" t="s">
        <v>47</v>
      </c>
      <c r="R575" s="1" t="s">
        <v>67</v>
      </c>
      <c r="S575" s="1" t="s">
        <v>37</v>
      </c>
      <c r="T575" s="1" t="s">
        <v>36</v>
      </c>
      <c r="U575">
        <v>3.4</v>
      </c>
      <c r="V575" t="s">
        <v>38</v>
      </c>
      <c r="W575">
        <v>6</v>
      </c>
      <c r="X575" s="1" t="s">
        <v>68</v>
      </c>
    </row>
    <row r="576" spans="1:24" x14ac:dyDescent="0.55000000000000004">
      <c r="A576" s="1" t="s">
        <v>660</v>
      </c>
      <c r="B576" s="1" t="s">
        <v>41</v>
      </c>
      <c r="C576">
        <v>53</v>
      </c>
      <c r="D576" s="1" t="s">
        <v>42</v>
      </c>
      <c r="E576" s="1" t="s">
        <v>84</v>
      </c>
      <c r="F576" s="1" t="s">
        <v>85</v>
      </c>
      <c r="G576" s="1" t="s">
        <v>29</v>
      </c>
      <c r="H576" s="1" t="s">
        <v>30</v>
      </c>
      <c r="I576" s="1" t="s">
        <v>59</v>
      </c>
      <c r="J576" s="1" t="s">
        <v>32</v>
      </c>
      <c r="K576" s="1" t="s">
        <v>46</v>
      </c>
      <c r="L576" s="2">
        <v>45668</v>
      </c>
      <c r="M576" s="2">
        <v>45696</v>
      </c>
      <c r="N576">
        <v>1779108</v>
      </c>
      <c r="O576">
        <v>22079</v>
      </c>
      <c r="P576">
        <v>1757029</v>
      </c>
      <c r="Q576" s="1" t="s">
        <v>55</v>
      </c>
      <c r="R576" s="1" t="s">
        <v>109</v>
      </c>
      <c r="S576" s="1" t="s">
        <v>37</v>
      </c>
      <c r="T576" s="1" t="s">
        <v>36</v>
      </c>
      <c r="U576">
        <v>3.5</v>
      </c>
      <c r="V576" t="s">
        <v>38</v>
      </c>
      <c r="W576">
        <v>2</v>
      </c>
      <c r="X576" s="1" t="s">
        <v>107</v>
      </c>
    </row>
    <row r="577" spans="1:24" x14ac:dyDescent="0.55000000000000004">
      <c r="A577" s="1" t="s">
        <v>661</v>
      </c>
      <c r="B577" s="1" t="s">
        <v>83</v>
      </c>
      <c r="C577">
        <v>38</v>
      </c>
      <c r="D577" s="1" t="s">
        <v>26</v>
      </c>
      <c r="E577" s="1" t="s">
        <v>84</v>
      </c>
      <c r="F577" s="1" t="s">
        <v>85</v>
      </c>
      <c r="G577" s="1" t="s">
        <v>29</v>
      </c>
      <c r="H577" s="1" t="s">
        <v>77</v>
      </c>
      <c r="I577" s="1" t="s">
        <v>31</v>
      </c>
      <c r="J577" s="1" t="s">
        <v>54</v>
      </c>
      <c r="K577" s="1" t="s">
        <v>46</v>
      </c>
      <c r="L577" s="2">
        <v>46085</v>
      </c>
      <c r="M577" s="2">
        <v>46101</v>
      </c>
      <c r="N577">
        <v>1841587</v>
      </c>
      <c r="O577">
        <v>49091</v>
      </c>
      <c r="P577">
        <v>1792496</v>
      </c>
      <c r="Q577" s="1" t="s">
        <v>78</v>
      </c>
      <c r="R577" s="1" t="s">
        <v>79</v>
      </c>
      <c r="S577" s="1" t="s">
        <v>36</v>
      </c>
      <c r="T577" s="1" t="s">
        <v>37</v>
      </c>
      <c r="U577">
        <v>4.9000000000000004</v>
      </c>
      <c r="V577" t="s">
        <v>56</v>
      </c>
      <c r="W577">
        <v>3</v>
      </c>
      <c r="X577" s="1" t="s">
        <v>96</v>
      </c>
    </row>
    <row r="578" spans="1:24" x14ac:dyDescent="0.55000000000000004">
      <c r="A578" s="1" t="s">
        <v>662</v>
      </c>
      <c r="B578" s="1" t="s">
        <v>51</v>
      </c>
      <c r="C578">
        <v>26</v>
      </c>
      <c r="D578" s="1" t="s">
        <v>42</v>
      </c>
      <c r="E578" s="1" t="s">
        <v>84</v>
      </c>
      <c r="F578" s="1" t="s">
        <v>85</v>
      </c>
      <c r="G578" s="1" t="s">
        <v>29</v>
      </c>
      <c r="H578" s="1" t="s">
        <v>65</v>
      </c>
      <c r="I578" s="1" t="s">
        <v>31</v>
      </c>
      <c r="J578" s="1" t="s">
        <v>54</v>
      </c>
      <c r="K578" s="1" t="s">
        <v>33</v>
      </c>
      <c r="L578" s="2">
        <v>45802</v>
      </c>
      <c r="M578" s="2">
        <v>45814</v>
      </c>
      <c r="N578">
        <v>1595043</v>
      </c>
      <c r="O578">
        <v>20152</v>
      </c>
      <c r="P578">
        <v>1574891</v>
      </c>
      <c r="Q578" s="1" t="s">
        <v>78</v>
      </c>
      <c r="R578" s="1" t="s">
        <v>109</v>
      </c>
      <c r="S578" s="1" t="s">
        <v>37</v>
      </c>
      <c r="T578" s="1" t="s">
        <v>37</v>
      </c>
      <c r="U578">
        <v>3.9</v>
      </c>
      <c r="V578" t="s">
        <v>56</v>
      </c>
      <c r="W578">
        <v>6</v>
      </c>
      <c r="X578" s="1" t="s">
        <v>68</v>
      </c>
    </row>
    <row r="579" spans="1:24" x14ac:dyDescent="0.55000000000000004">
      <c r="A579" s="1" t="s">
        <v>663</v>
      </c>
      <c r="B579" s="1" t="s">
        <v>25</v>
      </c>
      <c r="C579">
        <v>27</v>
      </c>
      <c r="D579" s="1" t="s">
        <v>26</v>
      </c>
      <c r="E579" s="1" t="s">
        <v>90</v>
      </c>
      <c r="F579" s="1" t="s">
        <v>44</v>
      </c>
      <c r="G579" s="1" t="s">
        <v>29</v>
      </c>
      <c r="H579" s="1" t="s">
        <v>77</v>
      </c>
      <c r="I579" s="1" t="s">
        <v>74</v>
      </c>
      <c r="J579" s="1" t="s">
        <v>32</v>
      </c>
      <c r="K579" s="1" t="s">
        <v>33</v>
      </c>
      <c r="L579" s="2">
        <v>45845</v>
      </c>
      <c r="M579" s="2">
        <v>45888</v>
      </c>
      <c r="N579">
        <v>1512237</v>
      </c>
      <c r="O579">
        <v>88183</v>
      </c>
      <c r="P579">
        <v>1424054</v>
      </c>
      <c r="Q579" s="1" t="s">
        <v>78</v>
      </c>
      <c r="R579" s="1" t="s">
        <v>67</v>
      </c>
      <c r="S579" s="1" t="s">
        <v>37</v>
      </c>
      <c r="T579" s="1" t="s">
        <v>36</v>
      </c>
      <c r="U579">
        <v>4.8</v>
      </c>
      <c r="V579" t="s">
        <v>38</v>
      </c>
      <c r="W579">
        <v>8</v>
      </c>
      <c r="X579" s="1" t="s">
        <v>57</v>
      </c>
    </row>
    <row r="580" spans="1:24" x14ac:dyDescent="0.55000000000000004">
      <c r="A580" s="1" t="s">
        <v>664</v>
      </c>
      <c r="B580" s="1" t="s">
        <v>83</v>
      </c>
      <c r="C580">
        <v>58</v>
      </c>
      <c r="D580" s="1" t="s">
        <v>26</v>
      </c>
      <c r="E580" s="1" t="s">
        <v>84</v>
      </c>
      <c r="F580" s="1" t="s">
        <v>85</v>
      </c>
      <c r="G580" s="1" t="s">
        <v>29</v>
      </c>
      <c r="H580" s="1" t="s">
        <v>30</v>
      </c>
      <c r="I580" s="1" t="s">
        <v>45</v>
      </c>
      <c r="J580" s="1" t="s">
        <v>32</v>
      </c>
      <c r="K580" s="1" t="s">
        <v>46</v>
      </c>
      <c r="L580" s="2">
        <v>45968</v>
      </c>
      <c r="M580" s="2">
        <v>45997</v>
      </c>
      <c r="N580">
        <v>1699724</v>
      </c>
      <c r="O580">
        <v>55801</v>
      </c>
      <c r="P580">
        <v>1643923</v>
      </c>
      <c r="Q580" s="1" t="s">
        <v>47</v>
      </c>
      <c r="R580" s="1" t="s">
        <v>109</v>
      </c>
      <c r="S580" s="1" t="s">
        <v>37</v>
      </c>
      <c r="T580" s="1" t="s">
        <v>37</v>
      </c>
      <c r="U580">
        <v>4.0999999999999996</v>
      </c>
      <c r="V580" t="s">
        <v>38</v>
      </c>
      <c r="W580">
        <v>12</v>
      </c>
      <c r="X580" s="1" t="s">
        <v>49</v>
      </c>
    </row>
    <row r="581" spans="1:24" x14ac:dyDescent="0.55000000000000004">
      <c r="A581" s="1" t="s">
        <v>665</v>
      </c>
      <c r="B581" s="1" t="s">
        <v>83</v>
      </c>
      <c r="C581">
        <v>33</v>
      </c>
      <c r="D581" s="1" t="s">
        <v>42</v>
      </c>
      <c r="E581" s="1" t="s">
        <v>90</v>
      </c>
      <c r="F581" s="1" t="s">
        <v>44</v>
      </c>
      <c r="G581" s="1" t="s">
        <v>29</v>
      </c>
      <c r="H581" s="1" t="s">
        <v>65</v>
      </c>
      <c r="I581" s="1" t="s">
        <v>59</v>
      </c>
      <c r="J581" s="1" t="s">
        <v>54</v>
      </c>
      <c r="K581" s="1" t="s">
        <v>46</v>
      </c>
      <c r="L581" s="2">
        <v>45816</v>
      </c>
      <c r="M581" s="2">
        <v>45844</v>
      </c>
      <c r="N581">
        <v>1755171</v>
      </c>
      <c r="O581">
        <v>79527</v>
      </c>
      <c r="P581">
        <v>1675644</v>
      </c>
      <c r="Q581" s="1" t="s">
        <v>55</v>
      </c>
      <c r="R581" s="1" t="s">
        <v>67</v>
      </c>
      <c r="S581" s="1" t="s">
        <v>37</v>
      </c>
      <c r="T581" s="1" t="s">
        <v>37</v>
      </c>
      <c r="U581">
        <v>3.2</v>
      </c>
      <c r="V581" t="s">
        <v>38</v>
      </c>
      <c r="W581">
        <v>7</v>
      </c>
      <c r="X581" s="1" t="s">
        <v>39</v>
      </c>
    </row>
    <row r="582" spans="1:24" x14ac:dyDescent="0.55000000000000004">
      <c r="A582" s="1" t="s">
        <v>666</v>
      </c>
      <c r="B582" s="1" t="s">
        <v>70</v>
      </c>
      <c r="C582">
        <v>38</v>
      </c>
      <c r="D582" s="1" t="s">
        <v>42</v>
      </c>
      <c r="E582" s="1" t="s">
        <v>27</v>
      </c>
      <c r="F582" s="1" t="s">
        <v>28</v>
      </c>
      <c r="G582" s="1" t="s">
        <v>29</v>
      </c>
      <c r="H582" s="1" t="s">
        <v>30</v>
      </c>
      <c r="I582" s="1" t="s">
        <v>45</v>
      </c>
      <c r="J582" s="1" t="s">
        <v>32</v>
      </c>
      <c r="K582" s="1" t="s">
        <v>46</v>
      </c>
      <c r="L582" s="2">
        <v>46013</v>
      </c>
      <c r="M582" s="2">
        <v>46028</v>
      </c>
      <c r="N582">
        <v>1844180</v>
      </c>
      <c r="O582">
        <v>17436</v>
      </c>
      <c r="P582">
        <v>1826744</v>
      </c>
      <c r="Q582" s="1" t="s">
        <v>66</v>
      </c>
      <c r="R582" s="1" t="s">
        <v>109</v>
      </c>
      <c r="S582" s="1" t="s">
        <v>36</v>
      </c>
      <c r="T582" s="1" t="s">
        <v>37</v>
      </c>
      <c r="U582">
        <v>4.8</v>
      </c>
      <c r="V582" t="s">
        <v>56</v>
      </c>
      <c r="W582">
        <v>1</v>
      </c>
      <c r="X582" s="1" t="s">
        <v>88</v>
      </c>
    </row>
    <row r="583" spans="1:24" x14ac:dyDescent="0.55000000000000004">
      <c r="A583" s="1" t="s">
        <v>667</v>
      </c>
      <c r="B583" s="1" t="s">
        <v>51</v>
      </c>
      <c r="C583">
        <v>36</v>
      </c>
      <c r="D583" s="1" t="s">
        <v>26</v>
      </c>
      <c r="E583" s="1" t="s">
        <v>90</v>
      </c>
      <c r="F583" s="1" t="s">
        <v>44</v>
      </c>
      <c r="G583" s="1" t="s">
        <v>29</v>
      </c>
      <c r="H583" s="1" t="s">
        <v>30</v>
      </c>
      <c r="I583" s="1" t="s">
        <v>74</v>
      </c>
      <c r="J583" s="1" t="s">
        <v>32</v>
      </c>
      <c r="K583" s="1" t="s">
        <v>33</v>
      </c>
      <c r="L583" s="2">
        <v>45659</v>
      </c>
      <c r="M583" s="2">
        <v>45670</v>
      </c>
      <c r="N583">
        <v>1727035</v>
      </c>
      <c r="O583">
        <v>65242</v>
      </c>
      <c r="P583">
        <v>1661793</v>
      </c>
      <c r="Q583" s="1" t="s">
        <v>66</v>
      </c>
      <c r="R583" s="1" t="s">
        <v>35</v>
      </c>
      <c r="S583" s="1" t="s">
        <v>37</v>
      </c>
      <c r="T583" s="1" t="s">
        <v>36</v>
      </c>
      <c r="U583">
        <v>4.9000000000000004</v>
      </c>
      <c r="V583" t="s">
        <v>56</v>
      </c>
      <c r="W583">
        <v>1</v>
      </c>
      <c r="X583" s="1" t="s">
        <v>88</v>
      </c>
    </row>
    <row r="584" spans="1:24" x14ac:dyDescent="0.55000000000000004">
      <c r="A584" s="1" t="s">
        <v>668</v>
      </c>
      <c r="B584" s="1" t="s">
        <v>93</v>
      </c>
      <c r="C584">
        <v>29</v>
      </c>
      <c r="D584" s="1" t="s">
        <v>26</v>
      </c>
      <c r="E584" s="1" t="s">
        <v>84</v>
      </c>
      <c r="F584" s="1" t="s">
        <v>85</v>
      </c>
      <c r="G584" s="1" t="s">
        <v>29</v>
      </c>
      <c r="H584" s="1" t="s">
        <v>65</v>
      </c>
      <c r="I584" s="1" t="s">
        <v>53</v>
      </c>
      <c r="J584" s="1" t="s">
        <v>54</v>
      </c>
      <c r="K584" s="1" t="s">
        <v>46</v>
      </c>
      <c r="L584" s="2">
        <v>46120</v>
      </c>
      <c r="M584" s="2">
        <v>46135</v>
      </c>
      <c r="N584">
        <v>1447864</v>
      </c>
      <c r="O584">
        <v>19069</v>
      </c>
      <c r="P584">
        <v>1428795</v>
      </c>
      <c r="Q584" s="1" t="s">
        <v>55</v>
      </c>
      <c r="R584" s="1" t="s">
        <v>109</v>
      </c>
      <c r="S584" s="1" t="s">
        <v>36</v>
      </c>
      <c r="T584" s="1" t="s">
        <v>37</v>
      </c>
      <c r="U584">
        <v>4.8</v>
      </c>
      <c r="V584" t="s">
        <v>56</v>
      </c>
      <c r="W584">
        <v>4</v>
      </c>
      <c r="X584" s="1" t="s">
        <v>63</v>
      </c>
    </row>
    <row r="585" spans="1:24" x14ac:dyDescent="0.55000000000000004">
      <c r="A585" s="1" t="s">
        <v>669</v>
      </c>
      <c r="B585" s="1" t="s">
        <v>93</v>
      </c>
      <c r="C585">
        <v>58</v>
      </c>
      <c r="D585" s="1" t="s">
        <v>42</v>
      </c>
      <c r="E585" s="1" t="s">
        <v>43</v>
      </c>
      <c r="F585" s="1" t="s">
        <v>44</v>
      </c>
      <c r="G585" s="1" t="s">
        <v>29</v>
      </c>
      <c r="H585" s="1" t="s">
        <v>77</v>
      </c>
      <c r="I585" s="1" t="s">
        <v>53</v>
      </c>
      <c r="J585" s="1" t="s">
        <v>32</v>
      </c>
      <c r="K585" s="1" t="s">
        <v>33</v>
      </c>
      <c r="L585" s="2">
        <v>46051</v>
      </c>
      <c r="M585" s="2">
        <v>46066</v>
      </c>
      <c r="N585">
        <v>1329144</v>
      </c>
      <c r="O585">
        <v>52779</v>
      </c>
      <c r="P585">
        <v>1276365</v>
      </c>
      <c r="Q585" s="1" t="s">
        <v>66</v>
      </c>
      <c r="R585" s="1" t="s">
        <v>109</v>
      </c>
      <c r="S585" s="1" t="s">
        <v>36</v>
      </c>
      <c r="T585" s="1" t="s">
        <v>36</v>
      </c>
      <c r="U585">
        <v>3.9</v>
      </c>
      <c r="V585" t="s">
        <v>56</v>
      </c>
      <c r="W585">
        <v>2</v>
      </c>
      <c r="X585" s="1" t="s">
        <v>107</v>
      </c>
    </row>
    <row r="586" spans="1:24" x14ac:dyDescent="0.55000000000000004">
      <c r="A586" s="1" t="s">
        <v>670</v>
      </c>
      <c r="B586" s="1" t="s">
        <v>93</v>
      </c>
      <c r="C586">
        <v>53</v>
      </c>
      <c r="D586" s="1" t="s">
        <v>26</v>
      </c>
      <c r="E586" s="1" t="s">
        <v>90</v>
      </c>
      <c r="F586" s="1" t="s">
        <v>44</v>
      </c>
      <c r="G586" s="1" t="s">
        <v>29</v>
      </c>
      <c r="H586" s="1" t="s">
        <v>65</v>
      </c>
      <c r="I586" s="1" t="s">
        <v>59</v>
      </c>
      <c r="J586" s="1" t="s">
        <v>54</v>
      </c>
      <c r="K586" s="1" t="s">
        <v>33</v>
      </c>
      <c r="L586" s="2">
        <v>46059</v>
      </c>
      <c r="M586" s="2">
        <v>46092</v>
      </c>
      <c r="N586">
        <v>1641738</v>
      </c>
      <c r="O586">
        <v>41461</v>
      </c>
      <c r="P586">
        <v>1600277</v>
      </c>
      <c r="Q586" s="1" t="s">
        <v>34</v>
      </c>
      <c r="R586" s="1" t="s">
        <v>67</v>
      </c>
      <c r="S586" s="1" t="s">
        <v>36</v>
      </c>
      <c r="T586" s="1" t="s">
        <v>37</v>
      </c>
      <c r="U586">
        <v>4.0999999999999996</v>
      </c>
      <c r="V586" t="s">
        <v>38</v>
      </c>
      <c r="W586">
        <v>3</v>
      </c>
      <c r="X586" s="1" t="s">
        <v>96</v>
      </c>
    </row>
    <row r="587" spans="1:24" x14ac:dyDescent="0.55000000000000004">
      <c r="A587" s="1" t="s">
        <v>671</v>
      </c>
      <c r="B587" s="1" t="s">
        <v>70</v>
      </c>
      <c r="C587">
        <v>35</v>
      </c>
      <c r="D587" s="1" t="s">
        <v>26</v>
      </c>
      <c r="E587" s="1" t="s">
        <v>90</v>
      </c>
      <c r="F587" s="1" t="s">
        <v>44</v>
      </c>
      <c r="G587" s="1" t="s">
        <v>29</v>
      </c>
      <c r="H587" s="1" t="s">
        <v>30</v>
      </c>
      <c r="I587" s="1" t="s">
        <v>31</v>
      </c>
      <c r="J587" s="1" t="s">
        <v>32</v>
      </c>
      <c r="K587" s="1" t="s">
        <v>33</v>
      </c>
      <c r="L587" s="2">
        <v>45967</v>
      </c>
      <c r="M587" s="2">
        <v>45998</v>
      </c>
      <c r="N587">
        <v>1667272</v>
      </c>
      <c r="O587">
        <v>70749</v>
      </c>
      <c r="P587">
        <v>1596523</v>
      </c>
      <c r="Q587" s="1" t="s">
        <v>78</v>
      </c>
      <c r="R587" s="1" t="s">
        <v>48</v>
      </c>
      <c r="S587" s="1" t="s">
        <v>36</v>
      </c>
      <c r="T587" s="1" t="s">
        <v>37</v>
      </c>
      <c r="U587">
        <v>4.2</v>
      </c>
      <c r="V587" t="s">
        <v>38</v>
      </c>
      <c r="W587">
        <v>12</v>
      </c>
      <c r="X587" s="1" t="s">
        <v>49</v>
      </c>
    </row>
    <row r="588" spans="1:24" x14ac:dyDescent="0.55000000000000004">
      <c r="A588" s="1" t="s">
        <v>672</v>
      </c>
      <c r="B588" s="1" t="s">
        <v>81</v>
      </c>
      <c r="C588">
        <v>42</v>
      </c>
      <c r="D588" s="1" t="s">
        <v>26</v>
      </c>
      <c r="E588" s="1" t="s">
        <v>43</v>
      </c>
      <c r="F588" s="1" t="s">
        <v>44</v>
      </c>
      <c r="G588" s="1" t="s">
        <v>29</v>
      </c>
      <c r="H588" s="1" t="s">
        <v>30</v>
      </c>
      <c r="I588" s="1" t="s">
        <v>45</v>
      </c>
      <c r="J588" s="1" t="s">
        <v>54</v>
      </c>
      <c r="K588" s="1" t="s">
        <v>46</v>
      </c>
      <c r="L588" s="2">
        <v>46088</v>
      </c>
      <c r="M588" s="2">
        <v>46120</v>
      </c>
      <c r="N588">
        <v>1724912</v>
      </c>
      <c r="O588">
        <v>50430</v>
      </c>
      <c r="P588">
        <v>1674482</v>
      </c>
      <c r="Q588" s="1" t="s">
        <v>66</v>
      </c>
      <c r="R588" s="1" t="s">
        <v>67</v>
      </c>
      <c r="S588" s="1" t="s">
        <v>37</v>
      </c>
      <c r="T588" s="1" t="s">
        <v>36</v>
      </c>
      <c r="U588">
        <v>4.7</v>
      </c>
      <c r="V588" t="s">
        <v>38</v>
      </c>
      <c r="W588">
        <v>4</v>
      </c>
      <c r="X588" s="1" t="s">
        <v>63</v>
      </c>
    </row>
    <row r="589" spans="1:24" x14ac:dyDescent="0.55000000000000004">
      <c r="A589" s="1" t="s">
        <v>673</v>
      </c>
      <c r="B589" s="1" t="s">
        <v>83</v>
      </c>
      <c r="C589">
        <v>48</v>
      </c>
      <c r="D589" s="1" t="s">
        <v>42</v>
      </c>
      <c r="E589" s="1" t="s">
        <v>71</v>
      </c>
      <c r="F589" s="1" t="s">
        <v>72</v>
      </c>
      <c r="G589" s="1" t="s">
        <v>29</v>
      </c>
      <c r="H589" s="1" t="s">
        <v>65</v>
      </c>
      <c r="I589" s="1" t="s">
        <v>74</v>
      </c>
      <c r="J589" s="1" t="s">
        <v>54</v>
      </c>
      <c r="K589" s="1" t="s">
        <v>46</v>
      </c>
      <c r="L589" s="2">
        <v>45674</v>
      </c>
      <c r="M589" s="2">
        <v>45684</v>
      </c>
      <c r="N589">
        <v>1507653</v>
      </c>
      <c r="O589">
        <v>45938</v>
      </c>
      <c r="P589">
        <v>1461715</v>
      </c>
      <c r="Q589" s="1" t="s">
        <v>47</v>
      </c>
      <c r="R589" s="1" t="s">
        <v>79</v>
      </c>
      <c r="S589" s="1" t="s">
        <v>36</v>
      </c>
      <c r="T589" s="1" t="s">
        <v>37</v>
      </c>
      <c r="U589">
        <v>4</v>
      </c>
      <c r="V589" t="s">
        <v>91</v>
      </c>
      <c r="W589">
        <v>1</v>
      </c>
      <c r="X589" s="1" t="s">
        <v>88</v>
      </c>
    </row>
    <row r="590" spans="1:24" x14ac:dyDescent="0.55000000000000004">
      <c r="A590" s="1" t="s">
        <v>674</v>
      </c>
      <c r="B590" s="1" t="s">
        <v>41</v>
      </c>
      <c r="C590">
        <v>31</v>
      </c>
      <c r="D590" s="1" t="s">
        <v>26</v>
      </c>
      <c r="E590" s="1" t="s">
        <v>27</v>
      </c>
      <c r="F590" s="1" t="s">
        <v>28</v>
      </c>
      <c r="G590" s="1" t="s">
        <v>29</v>
      </c>
      <c r="H590" s="1" t="s">
        <v>65</v>
      </c>
      <c r="I590" s="1" t="s">
        <v>31</v>
      </c>
      <c r="J590" s="1" t="s">
        <v>32</v>
      </c>
      <c r="K590" s="1" t="s">
        <v>33</v>
      </c>
      <c r="L590" s="2">
        <v>46005</v>
      </c>
      <c r="M590" s="2">
        <v>46038</v>
      </c>
      <c r="N590">
        <v>1737957</v>
      </c>
      <c r="O590">
        <v>70023</v>
      </c>
      <c r="P590">
        <v>1667934</v>
      </c>
      <c r="Q590" s="1" t="s">
        <v>55</v>
      </c>
      <c r="R590" s="1" t="s">
        <v>67</v>
      </c>
      <c r="S590" s="1" t="s">
        <v>36</v>
      </c>
      <c r="T590" s="1" t="s">
        <v>36</v>
      </c>
      <c r="U590">
        <v>4.8</v>
      </c>
      <c r="V590" t="s">
        <v>38</v>
      </c>
      <c r="W590">
        <v>1</v>
      </c>
      <c r="X590" s="1" t="s">
        <v>88</v>
      </c>
    </row>
    <row r="591" spans="1:24" x14ac:dyDescent="0.55000000000000004">
      <c r="A591" s="1" t="s">
        <v>675</v>
      </c>
      <c r="B591" s="1" t="s">
        <v>105</v>
      </c>
      <c r="C591">
        <v>60</v>
      </c>
      <c r="D591" s="1" t="s">
        <v>42</v>
      </c>
      <c r="E591" s="1" t="s">
        <v>90</v>
      </c>
      <c r="F591" s="1" t="s">
        <v>44</v>
      </c>
      <c r="G591" s="1" t="s">
        <v>29</v>
      </c>
      <c r="H591" s="1" t="s">
        <v>65</v>
      </c>
      <c r="I591" s="1" t="s">
        <v>53</v>
      </c>
      <c r="J591" s="1" t="s">
        <v>32</v>
      </c>
      <c r="K591" s="1" t="s">
        <v>46</v>
      </c>
      <c r="L591" s="2">
        <v>45783</v>
      </c>
      <c r="M591" s="2">
        <v>45820</v>
      </c>
      <c r="N591">
        <v>1896494</v>
      </c>
      <c r="O591">
        <v>54881</v>
      </c>
      <c r="P591">
        <v>1841613</v>
      </c>
      <c r="Q591" s="1" t="s">
        <v>55</v>
      </c>
      <c r="R591" s="1" t="s">
        <v>35</v>
      </c>
      <c r="S591" s="1" t="s">
        <v>36</v>
      </c>
      <c r="T591" s="1" t="s">
        <v>37</v>
      </c>
      <c r="U591">
        <v>3.7</v>
      </c>
      <c r="V591" t="s">
        <v>38</v>
      </c>
      <c r="W591">
        <v>6</v>
      </c>
      <c r="X591" s="1" t="s">
        <v>68</v>
      </c>
    </row>
    <row r="592" spans="1:24" x14ac:dyDescent="0.55000000000000004">
      <c r="A592" s="1" t="s">
        <v>676</v>
      </c>
      <c r="B592" s="1" t="s">
        <v>41</v>
      </c>
      <c r="C592">
        <v>46</v>
      </c>
      <c r="D592" s="1" t="s">
        <v>42</v>
      </c>
      <c r="E592" s="1" t="s">
        <v>27</v>
      </c>
      <c r="F592" s="1" t="s">
        <v>28</v>
      </c>
      <c r="G592" s="1" t="s">
        <v>29</v>
      </c>
      <c r="H592" s="1" t="s">
        <v>30</v>
      </c>
      <c r="I592" s="1" t="s">
        <v>31</v>
      </c>
      <c r="J592" s="1" t="s">
        <v>54</v>
      </c>
      <c r="K592" s="1" t="s">
        <v>46</v>
      </c>
      <c r="L592" s="2">
        <v>46023</v>
      </c>
      <c r="M592" s="2">
        <v>46035</v>
      </c>
      <c r="N592">
        <v>1701070</v>
      </c>
      <c r="O592">
        <v>69629</v>
      </c>
      <c r="P592">
        <v>1631441</v>
      </c>
      <c r="Q592" s="1" t="s">
        <v>66</v>
      </c>
      <c r="R592" s="1" t="s">
        <v>35</v>
      </c>
      <c r="S592" s="1" t="s">
        <v>37</v>
      </c>
      <c r="T592" s="1" t="s">
        <v>36</v>
      </c>
      <c r="U592">
        <v>4.4000000000000004</v>
      </c>
      <c r="V592" t="s">
        <v>56</v>
      </c>
      <c r="W592">
        <v>1</v>
      </c>
      <c r="X592" s="1" t="s">
        <v>88</v>
      </c>
    </row>
    <row r="593" spans="1:24" x14ac:dyDescent="0.55000000000000004">
      <c r="A593" s="1" t="s">
        <v>677</v>
      </c>
      <c r="B593" s="1" t="s">
        <v>51</v>
      </c>
      <c r="C593">
        <v>24</v>
      </c>
      <c r="D593" s="1" t="s">
        <v>26</v>
      </c>
      <c r="E593" s="1" t="s">
        <v>27</v>
      </c>
      <c r="F593" s="1" t="s">
        <v>28</v>
      </c>
      <c r="G593" s="1" t="s">
        <v>29</v>
      </c>
      <c r="H593" s="1" t="s">
        <v>65</v>
      </c>
      <c r="I593" s="1" t="s">
        <v>31</v>
      </c>
      <c r="J593" s="1" t="s">
        <v>32</v>
      </c>
      <c r="K593" s="1" t="s">
        <v>33</v>
      </c>
      <c r="L593" s="2">
        <v>46123</v>
      </c>
      <c r="M593" s="2">
        <v>46145</v>
      </c>
      <c r="N593">
        <v>1569656</v>
      </c>
      <c r="O593">
        <v>11707</v>
      </c>
      <c r="P593">
        <v>1557949</v>
      </c>
      <c r="Q593" s="1" t="s">
        <v>66</v>
      </c>
      <c r="R593" s="1" t="s">
        <v>48</v>
      </c>
      <c r="S593" s="1" t="s">
        <v>36</v>
      </c>
      <c r="T593" s="1" t="s">
        <v>36</v>
      </c>
      <c r="U593">
        <v>4.9000000000000004</v>
      </c>
      <c r="V593" t="s">
        <v>38</v>
      </c>
      <c r="W593">
        <v>5</v>
      </c>
      <c r="X593" s="1" t="s">
        <v>86</v>
      </c>
    </row>
    <row r="594" spans="1:24" x14ac:dyDescent="0.55000000000000004">
      <c r="A594" s="1" t="s">
        <v>678</v>
      </c>
      <c r="B594" s="1" t="s">
        <v>93</v>
      </c>
      <c r="C594">
        <v>22</v>
      </c>
      <c r="D594" s="1" t="s">
        <v>42</v>
      </c>
      <c r="E594" s="1" t="s">
        <v>52</v>
      </c>
      <c r="F594" s="1" t="s">
        <v>44</v>
      </c>
      <c r="G594" s="1" t="s">
        <v>29</v>
      </c>
      <c r="H594" s="1" t="s">
        <v>65</v>
      </c>
      <c r="I594" s="1" t="s">
        <v>31</v>
      </c>
      <c r="J594" s="1" t="s">
        <v>54</v>
      </c>
      <c r="K594" s="1" t="s">
        <v>46</v>
      </c>
      <c r="L594" s="2">
        <v>45989</v>
      </c>
      <c r="M594" s="2">
        <v>46005</v>
      </c>
      <c r="N594">
        <v>1590940</v>
      </c>
      <c r="O594">
        <v>89737</v>
      </c>
      <c r="P594">
        <v>1501203</v>
      </c>
      <c r="Q594" s="1" t="s">
        <v>78</v>
      </c>
      <c r="R594" s="1" t="s">
        <v>67</v>
      </c>
      <c r="S594" s="1" t="s">
        <v>36</v>
      </c>
      <c r="T594" s="1" t="s">
        <v>37</v>
      </c>
      <c r="U594">
        <v>4.3</v>
      </c>
      <c r="V594" t="s">
        <v>56</v>
      </c>
      <c r="W594">
        <v>12</v>
      </c>
      <c r="X594" s="1" t="s">
        <v>49</v>
      </c>
    </row>
    <row r="595" spans="1:24" x14ac:dyDescent="0.55000000000000004">
      <c r="A595" s="1" t="s">
        <v>679</v>
      </c>
      <c r="B595" s="1" t="s">
        <v>62</v>
      </c>
      <c r="C595">
        <v>41</v>
      </c>
      <c r="D595" s="1" t="s">
        <v>26</v>
      </c>
      <c r="E595" s="1" t="s">
        <v>71</v>
      </c>
      <c r="F595" s="1" t="s">
        <v>72</v>
      </c>
      <c r="G595" s="1" t="s">
        <v>29</v>
      </c>
      <c r="H595" s="1" t="s">
        <v>65</v>
      </c>
      <c r="I595" s="1" t="s">
        <v>59</v>
      </c>
      <c r="J595" s="1" t="s">
        <v>54</v>
      </c>
      <c r="K595" s="1" t="s">
        <v>46</v>
      </c>
      <c r="L595" s="2">
        <v>45787</v>
      </c>
      <c r="M595" s="2">
        <v>45830</v>
      </c>
      <c r="N595">
        <v>1860958</v>
      </c>
      <c r="O595">
        <v>82487</v>
      </c>
      <c r="P595">
        <v>1778471</v>
      </c>
      <c r="Q595" s="1" t="s">
        <v>78</v>
      </c>
      <c r="R595" s="1" t="s">
        <v>79</v>
      </c>
      <c r="S595" s="1" t="s">
        <v>37</v>
      </c>
      <c r="T595" s="1" t="s">
        <v>36</v>
      </c>
      <c r="U595">
        <v>3.9</v>
      </c>
      <c r="V595" t="s">
        <v>38</v>
      </c>
      <c r="W595">
        <v>6</v>
      </c>
      <c r="X595" s="1" t="s">
        <v>68</v>
      </c>
    </row>
    <row r="596" spans="1:24" x14ac:dyDescent="0.55000000000000004">
      <c r="A596" s="1" t="s">
        <v>680</v>
      </c>
      <c r="B596" s="1" t="s">
        <v>81</v>
      </c>
      <c r="C596">
        <v>29</v>
      </c>
      <c r="D596" s="1" t="s">
        <v>42</v>
      </c>
      <c r="E596" s="1" t="s">
        <v>90</v>
      </c>
      <c r="F596" s="1" t="s">
        <v>44</v>
      </c>
      <c r="G596" s="1" t="s">
        <v>29</v>
      </c>
      <c r="H596" s="1" t="s">
        <v>65</v>
      </c>
      <c r="I596" s="1" t="s">
        <v>74</v>
      </c>
      <c r="J596" s="1" t="s">
        <v>54</v>
      </c>
      <c r="K596" s="1" t="s">
        <v>46</v>
      </c>
      <c r="L596" s="2">
        <v>45669</v>
      </c>
      <c r="M596" s="2">
        <v>45697</v>
      </c>
      <c r="N596">
        <v>1859710</v>
      </c>
      <c r="O596">
        <v>32844</v>
      </c>
      <c r="P596">
        <v>1826866</v>
      </c>
      <c r="Q596" s="1" t="s">
        <v>55</v>
      </c>
      <c r="R596" s="1" t="s">
        <v>48</v>
      </c>
      <c r="S596" s="1" t="s">
        <v>37</v>
      </c>
      <c r="T596" s="1" t="s">
        <v>36</v>
      </c>
      <c r="U596">
        <v>3.2</v>
      </c>
      <c r="V596" t="s">
        <v>38</v>
      </c>
      <c r="W596">
        <v>2</v>
      </c>
      <c r="X596" s="1" t="s">
        <v>107</v>
      </c>
    </row>
    <row r="597" spans="1:24" x14ac:dyDescent="0.55000000000000004">
      <c r="A597" s="1" t="s">
        <v>681</v>
      </c>
      <c r="B597" s="1" t="s">
        <v>70</v>
      </c>
      <c r="C597">
        <v>29</v>
      </c>
      <c r="D597" s="1" t="s">
        <v>42</v>
      </c>
      <c r="E597" s="1" t="s">
        <v>52</v>
      </c>
      <c r="F597" s="1" t="s">
        <v>44</v>
      </c>
      <c r="G597" s="1" t="s">
        <v>29</v>
      </c>
      <c r="H597" s="1" t="s">
        <v>65</v>
      </c>
      <c r="I597" s="1" t="s">
        <v>59</v>
      </c>
      <c r="J597" s="1" t="s">
        <v>54</v>
      </c>
      <c r="K597" s="1" t="s">
        <v>33</v>
      </c>
      <c r="L597" s="2">
        <v>46172</v>
      </c>
      <c r="M597" s="2">
        <v>46201</v>
      </c>
      <c r="N597">
        <v>1708477</v>
      </c>
      <c r="O597">
        <v>57830</v>
      </c>
      <c r="P597">
        <v>1650647</v>
      </c>
      <c r="Q597" s="1" t="s">
        <v>34</v>
      </c>
      <c r="R597" s="1" t="s">
        <v>109</v>
      </c>
      <c r="S597" s="1" t="s">
        <v>37</v>
      </c>
      <c r="T597" s="1" t="s">
        <v>37</v>
      </c>
      <c r="U597">
        <v>3.5</v>
      </c>
      <c r="V597" t="s">
        <v>38</v>
      </c>
      <c r="W597">
        <v>6</v>
      </c>
      <c r="X597" s="1" t="s">
        <v>68</v>
      </c>
    </row>
    <row r="598" spans="1:24" x14ac:dyDescent="0.55000000000000004">
      <c r="A598" s="1" t="s">
        <v>682</v>
      </c>
      <c r="B598" s="1" t="s">
        <v>105</v>
      </c>
      <c r="C598">
        <v>21</v>
      </c>
      <c r="D598" s="1" t="s">
        <v>26</v>
      </c>
      <c r="E598" s="1" t="s">
        <v>90</v>
      </c>
      <c r="F598" s="1" t="s">
        <v>44</v>
      </c>
      <c r="G598" s="1" t="s">
        <v>29</v>
      </c>
      <c r="H598" s="1" t="s">
        <v>77</v>
      </c>
      <c r="I598" s="1" t="s">
        <v>74</v>
      </c>
      <c r="J598" s="1" t="s">
        <v>54</v>
      </c>
      <c r="K598" s="1" t="s">
        <v>33</v>
      </c>
      <c r="L598" s="2">
        <v>46147</v>
      </c>
      <c r="M598" s="2">
        <v>46183</v>
      </c>
      <c r="N598">
        <v>1638793</v>
      </c>
      <c r="O598">
        <v>38024</v>
      </c>
      <c r="P598">
        <v>1600769</v>
      </c>
      <c r="Q598" s="1" t="s">
        <v>55</v>
      </c>
      <c r="R598" s="1" t="s">
        <v>79</v>
      </c>
      <c r="S598" s="1" t="s">
        <v>37</v>
      </c>
      <c r="T598" s="1" t="s">
        <v>37</v>
      </c>
      <c r="U598">
        <v>4.7</v>
      </c>
      <c r="V598" t="s">
        <v>38</v>
      </c>
      <c r="W598">
        <v>6</v>
      </c>
      <c r="X598" s="1" t="s">
        <v>68</v>
      </c>
    </row>
    <row r="599" spans="1:24" x14ac:dyDescent="0.55000000000000004">
      <c r="A599" s="1" t="s">
        <v>683</v>
      </c>
      <c r="B599" s="1" t="s">
        <v>41</v>
      </c>
      <c r="C599">
        <v>28</v>
      </c>
      <c r="D599" s="1" t="s">
        <v>26</v>
      </c>
      <c r="E599" s="1" t="s">
        <v>84</v>
      </c>
      <c r="F599" s="1" t="s">
        <v>85</v>
      </c>
      <c r="G599" s="1" t="s">
        <v>29</v>
      </c>
      <c r="H599" s="1" t="s">
        <v>30</v>
      </c>
      <c r="I599" s="1" t="s">
        <v>59</v>
      </c>
      <c r="J599" s="1" t="s">
        <v>54</v>
      </c>
      <c r="K599" s="1" t="s">
        <v>46</v>
      </c>
      <c r="L599" s="2">
        <v>45814</v>
      </c>
      <c r="M599" s="2">
        <v>45830</v>
      </c>
      <c r="N599">
        <v>1752704</v>
      </c>
      <c r="O599">
        <v>50311</v>
      </c>
      <c r="P599">
        <v>1702393</v>
      </c>
      <c r="Q599" s="1" t="s">
        <v>66</v>
      </c>
      <c r="R599" s="1" t="s">
        <v>79</v>
      </c>
      <c r="S599" s="1" t="s">
        <v>37</v>
      </c>
      <c r="T599" s="1" t="s">
        <v>37</v>
      </c>
      <c r="U599">
        <v>4.4000000000000004</v>
      </c>
      <c r="V599" t="s">
        <v>56</v>
      </c>
      <c r="W599">
        <v>6</v>
      </c>
      <c r="X599" s="1" t="s">
        <v>68</v>
      </c>
    </row>
    <row r="600" spans="1:24" x14ac:dyDescent="0.55000000000000004">
      <c r="A600" s="1" t="s">
        <v>684</v>
      </c>
      <c r="B600" s="1" t="s">
        <v>105</v>
      </c>
      <c r="C600">
        <v>38</v>
      </c>
      <c r="D600" s="1" t="s">
        <v>26</v>
      </c>
      <c r="E600" s="1" t="s">
        <v>27</v>
      </c>
      <c r="F600" s="1" t="s">
        <v>28</v>
      </c>
      <c r="G600" s="1" t="s">
        <v>29</v>
      </c>
      <c r="H600" s="1" t="s">
        <v>30</v>
      </c>
      <c r="I600" s="1" t="s">
        <v>74</v>
      </c>
      <c r="J600" s="1" t="s">
        <v>54</v>
      </c>
      <c r="K600" s="1" t="s">
        <v>46</v>
      </c>
      <c r="L600" s="2">
        <v>45893</v>
      </c>
      <c r="M600" s="2">
        <v>45904</v>
      </c>
      <c r="N600">
        <v>1612567</v>
      </c>
      <c r="O600">
        <v>12276</v>
      </c>
      <c r="P600">
        <v>1600291</v>
      </c>
      <c r="Q600" s="1" t="s">
        <v>78</v>
      </c>
      <c r="R600" s="1" t="s">
        <v>67</v>
      </c>
      <c r="S600" s="1" t="s">
        <v>37</v>
      </c>
      <c r="T600" s="1" t="s">
        <v>37</v>
      </c>
      <c r="U600">
        <v>3.2</v>
      </c>
      <c r="V600" t="s">
        <v>56</v>
      </c>
      <c r="W600">
        <v>9</v>
      </c>
      <c r="X600" s="1" t="s">
        <v>103</v>
      </c>
    </row>
    <row r="601" spans="1:24" x14ac:dyDescent="0.55000000000000004">
      <c r="A601" s="1" t="s">
        <v>685</v>
      </c>
      <c r="B601" s="1" t="s">
        <v>81</v>
      </c>
      <c r="C601">
        <v>27</v>
      </c>
      <c r="D601" s="1" t="s">
        <v>26</v>
      </c>
      <c r="E601" s="1" t="s">
        <v>84</v>
      </c>
      <c r="F601" s="1" t="s">
        <v>85</v>
      </c>
      <c r="G601" s="1" t="s">
        <v>29</v>
      </c>
      <c r="H601" s="1" t="s">
        <v>65</v>
      </c>
      <c r="I601" s="1" t="s">
        <v>45</v>
      </c>
      <c r="J601" s="1" t="s">
        <v>54</v>
      </c>
      <c r="K601" s="1" t="s">
        <v>46</v>
      </c>
      <c r="L601" s="2">
        <v>45698</v>
      </c>
      <c r="M601" s="2">
        <v>45717</v>
      </c>
      <c r="N601">
        <v>1629175</v>
      </c>
      <c r="O601">
        <v>88183</v>
      </c>
      <c r="P601">
        <v>1540992</v>
      </c>
      <c r="Q601" s="1" t="s">
        <v>78</v>
      </c>
      <c r="R601" s="1" t="s">
        <v>67</v>
      </c>
      <c r="S601" s="1" t="s">
        <v>37</v>
      </c>
      <c r="T601" s="1" t="s">
        <v>37</v>
      </c>
      <c r="U601">
        <v>3.9</v>
      </c>
      <c r="V601" t="s">
        <v>56</v>
      </c>
      <c r="W601">
        <v>3</v>
      </c>
      <c r="X601" s="1" t="s">
        <v>96</v>
      </c>
    </row>
    <row r="602" spans="1:24" x14ac:dyDescent="0.55000000000000004">
      <c r="A602" s="1" t="s">
        <v>686</v>
      </c>
      <c r="B602" s="1" t="s">
        <v>81</v>
      </c>
      <c r="C602">
        <v>21</v>
      </c>
      <c r="D602" s="1" t="s">
        <v>26</v>
      </c>
      <c r="E602" s="1" t="s">
        <v>84</v>
      </c>
      <c r="F602" s="1" t="s">
        <v>85</v>
      </c>
      <c r="G602" s="1" t="s">
        <v>29</v>
      </c>
      <c r="H602" s="1" t="s">
        <v>77</v>
      </c>
      <c r="I602" s="1" t="s">
        <v>45</v>
      </c>
      <c r="J602" s="1" t="s">
        <v>32</v>
      </c>
      <c r="K602" s="1" t="s">
        <v>33</v>
      </c>
      <c r="L602" s="2">
        <v>45809</v>
      </c>
      <c r="M602" s="2">
        <v>45843</v>
      </c>
      <c r="N602">
        <v>1439131</v>
      </c>
      <c r="O602">
        <v>23486</v>
      </c>
      <c r="P602">
        <v>1415645</v>
      </c>
      <c r="Q602" s="1" t="s">
        <v>34</v>
      </c>
      <c r="R602" s="1" t="s">
        <v>35</v>
      </c>
      <c r="S602" s="1" t="s">
        <v>36</v>
      </c>
      <c r="T602" s="1" t="s">
        <v>36</v>
      </c>
      <c r="U602">
        <v>4</v>
      </c>
      <c r="V602" t="s">
        <v>38</v>
      </c>
      <c r="W602">
        <v>7</v>
      </c>
      <c r="X602" s="1" t="s">
        <v>39</v>
      </c>
    </row>
    <row r="603" spans="1:24" x14ac:dyDescent="0.55000000000000004">
      <c r="A603" s="1" t="s">
        <v>687</v>
      </c>
      <c r="B603" s="1" t="s">
        <v>81</v>
      </c>
      <c r="C603">
        <v>46</v>
      </c>
      <c r="D603" s="1" t="s">
        <v>42</v>
      </c>
      <c r="E603" s="1" t="s">
        <v>71</v>
      </c>
      <c r="F603" s="1" t="s">
        <v>72</v>
      </c>
      <c r="G603" s="1" t="s">
        <v>29</v>
      </c>
      <c r="H603" s="1" t="s">
        <v>65</v>
      </c>
      <c r="I603" s="1" t="s">
        <v>74</v>
      </c>
      <c r="J603" s="1" t="s">
        <v>32</v>
      </c>
      <c r="K603" s="1" t="s">
        <v>46</v>
      </c>
      <c r="L603" s="2">
        <v>45781</v>
      </c>
      <c r="M603" s="2">
        <v>45799</v>
      </c>
      <c r="N603">
        <v>1572888</v>
      </c>
      <c r="O603">
        <v>93514</v>
      </c>
      <c r="P603">
        <v>1479374</v>
      </c>
      <c r="Q603" s="1" t="s">
        <v>66</v>
      </c>
      <c r="R603" s="1" t="s">
        <v>109</v>
      </c>
      <c r="S603" s="1" t="s">
        <v>36</v>
      </c>
      <c r="T603" s="1" t="s">
        <v>37</v>
      </c>
      <c r="U603">
        <v>3.1</v>
      </c>
      <c r="V603" t="s">
        <v>56</v>
      </c>
      <c r="W603">
        <v>5</v>
      </c>
      <c r="X603" s="1" t="s">
        <v>86</v>
      </c>
    </row>
    <row r="604" spans="1:24" x14ac:dyDescent="0.55000000000000004">
      <c r="A604" s="1" t="s">
        <v>688</v>
      </c>
      <c r="B604" s="1" t="s">
        <v>98</v>
      </c>
      <c r="C604">
        <v>51</v>
      </c>
      <c r="D604" s="1" t="s">
        <v>26</v>
      </c>
      <c r="E604" s="1" t="s">
        <v>27</v>
      </c>
      <c r="F604" s="1" t="s">
        <v>28</v>
      </c>
      <c r="G604" s="1" t="s">
        <v>29</v>
      </c>
      <c r="H604" s="1" t="s">
        <v>77</v>
      </c>
      <c r="I604" s="1" t="s">
        <v>31</v>
      </c>
      <c r="J604" s="1" t="s">
        <v>32</v>
      </c>
      <c r="K604" s="1" t="s">
        <v>46</v>
      </c>
      <c r="L604" s="2">
        <v>46106</v>
      </c>
      <c r="M604" s="2">
        <v>46118</v>
      </c>
      <c r="N604">
        <v>1767533</v>
      </c>
      <c r="O604">
        <v>32803</v>
      </c>
      <c r="P604">
        <v>1734730</v>
      </c>
      <c r="Q604" s="1" t="s">
        <v>55</v>
      </c>
      <c r="R604" s="1" t="s">
        <v>79</v>
      </c>
      <c r="S604" s="1" t="s">
        <v>36</v>
      </c>
      <c r="T604" s="1" t="s">
        <v>36</v>
      </c>
      <c r="U604">
        <v>3</v>
      </c>
      <c r="V604" t="s">
        <v>56</v>
      </c>
      <c r="W604">
        <v>4</v>
      </c>
      <c r="X604" s="1" t="s">
        <v>63</v>
      </c>
    </row>
    <row r="605" spans="1:24" x14ac:dyDescent="0.55000000000000004">
      <c r="A605" s="1" t="s">
        <v>689</v>
      </c>
      <c r="B605" s="1" t="s">
        <v>93</v>
      </c>
      <c r="C605">
        <v>44</v>
      </c>
      <c r="D605" s="1" t="s">
        <v>42</v>
      </c>
      <c r="E605" s="1" t="s">
        <v>52</v>
      </c>
      <c r="F605" s="1" t="s">
        <v>44</v>
      </c>
      <c r="G605" s="1" t="s">
        <v>29</v>
      </c>
      <c r="H605" s="1" t="s">
        <v>65</v>
      </c>
      <c r="I605" s="1" t="s">
        <v>53</v>
      </c>
      <c r="J605" s="1" t="s">
        <v>54</v>
      </c>
      <c r="K605" s="1" t="s">
        <v>46</v>
      </c>
      <c r="L605" s="2">
        <v>45665</v>
      </c>
      <c r="M605" s="2">
        <v>45683</v>
      </c>
      <c r="N605">
        <v>1505329</v>
      </c>
      <c r="O605">
        <v>30101</v>
      </c>
      <c r="P605">
        <v>1475228</v>
      </c>
      <c r="Q605" s="1" t="s">
        <v>55</v>
      </c>
      <c r="R605" s="1" t="s">
        <v>79</v>
      </c>
      <c r="S605" s="1" t="s">
        <v>36</v>
      </c>
      <c r="T605" s="1" t="s">
        <v>36</v>
      </c>
      <c r="U605">
        <v>3.5</v>
      </c>
      <c r="V605" t="s">
        <v>56</v>
      </c>
      <c r="W605">
        <v>1</v>
      </c>
      <c r="X605" s="1" t="s">
        <v>88</v>
      </c>
    </row>
    <row r="606" spans="1:24" x14ac:dyDescent="0.55000000000000004">
      <c r="A606" s="1" t="s">
        <v>690</v>
      </c>
      <c r="B606" s="1" t="s">
        <v>62</v>
      </c>
      <c r="C606">
        <v>28</v>
      </c>
      <c r="D606" s="1" t="s">
        <v>26</v>
      </c>
      <c r="E606" s="1" t="s">
        <v>27</v>
      </c>
      <c r="F606" s="1" t="s">
        <v>28</v>
      </c>
      <c r="G606" s="1" t="s">
        <v>29</v>
      </c>
      <c r="H606" s="1" t="s">
        <v>30</v>
      </c>
      <c r="I606" s="1" t="s">
        <v>53</v>
      </c>
      <c r="J606" s="1" t="s">
        <v>32</v>
      </c>
      <c r="K606" s="1" t="s">
        <v>33</v>
      </c>
      <c r="L606" s="2">
        <v>46072</v>
      </c>
      <c r="M606" s="2">
        <v>46098</v>
      </c>
      <c r="N606">
        <v>1705777</v>
      </c>
      <c r="O606">
        <v>24331</v>
      </c>
      <c r="P606">
        <v>1681446</v>
      </c>
      <c r="Q606" s="1" t="s">
        <v>47</v>
      </c>
      <c r="R606" s="1" t="s">
        <v>109</v>
      </c>
      <c r="S606" s="1" t="s">
        <v>36</v>
      </c>
      <c r="T606" s="1" t="s">
        <v>37</v>
      </c>
      <c r="U606">
        <v>3.1</v>
      </c>
      <c r="V606" t="s">
        <v>38</v>
      </c>
      <c r="W606">
        <v>3</v>
      </c>
      <c r="X606" s="1" t="s">
        <v>96</v>
      </c>
    </row>
    <row r="607" spans="1:24" x14ac:dyDescent="0.55000000000000004">
      <c r="A607" s="1" t="s">
        <v>691</v>
      </c>
      <c r="B607" s="1" t="s">
        <v>70</v>
      </c>
      <c r="C607">
        <v>42</v>
      </c>
      <c r="D607" s="1" t="s">
        <v>42</v>
      </c>
      <c r="E607" s="1" t="s">
        <v>27</v>
      </c>
      <c r="F607" s="1" t="s">
        <v>28</v>
      </c>
      <c r="G607" s="1" t="s">
        <v>29</v>
      </c>
      <c r="H607" s="1" t="s">
        <v>30</v>
      </c>
      <c r="I607" s="1" t="s">
        <v>59</v>
      </c>
      <c r="J607" s="1" t="s">
        <v>32</v>
      </c>
      <c r="K607" s="1" t="s">
        <v>33</v>
      </c>
      <c r="L607" s="2">
        <v>45947</v>
      </c>
      <c r="M607" s="2">
        <v>45975</v>
      </c>
      <c r="N607">
        <v>1717261</v>
      </c>
      <c r="O607">
        <v>64194</v>
      </c>
      <c r="P607">
        <v>1653067</v>
      </c>
      <c r="Q607" s="1" t="s">
        <v>66</v>
      </c>
      <c r="R607" s="1" t="s">
        <v>35</v>
      </c>
      <c r="S607" s="1" t="s">
        <v>36</v>
      </c>
      <c r="T607" s="1" t="s">
        <v>36</v>
      </c>
      <c r="U607">
        <v>3.6</v>
      </c>
      <c r="V607" t="s">
        <v>38</v>
      </c>
      <c r="W607">
        <v>11</v>
      </c>
      <c r="X607" s="1" t="s">
        <v>60</v>
      </c>
    </row>
    <row r="608" spans="1:24" x14ac:dyDescent="0.55000000000000004">
      <c r="A608" s="1" t="s">
        <v>692</v>
      </c>
      <c r="B608" s="1" t="s">
        <v>83</v>
      </c>
      <c r="C608">
        <v>29</v>
      </c>
      <c r="D608" s="1" t="s">
        <v>42</v>
      </c>
      <c r="E608" s="1" t="s">
        <v>52</v>
      </c>
      <c r="F608" s="1" t="s">
        <v>44</v>
      </c>
      <c r="G608" s="1" t="s">
        <v>29</v>
      </c>
      <c r="H608" s="1" t="s">
        <v>65</v>
      </c>
      <c r="I608" s="1" t="s">
        <v>31</v>
      </c>
      <c r="J608" s="1" t="s">
        <v>54</v>
      </c>
      <c r="K608" s="1" t="s">
        <v>46</v>
      </c>
      <c r="L608" s="2">
        <v>45785</v>
      </c>
      <c r="M608" s="2">
        <v>45795</v>
      </c>
      <c r="N608">
        <v>1859934</v>
      </c>
      <c r="O608">
        <v>36672</v>
      </c>
      <c r="P608">
        <v>1823262</v>
      </c>
      <c r="Q608" s="1" t="s">
        <v>47</v>
      </c>
      <c r="R608" s="1" t="s">
        <v>48</v>
      </c>
      <c r="S608" s="1" t="s">
        <v>36</v>
      </c>
      <c r="T608" s="1" t="s">
        <v>37</v>
      </c>
      <c r="U608">
        <v>4.4000000000000004</v>
      </c>
      <c r="V608" t="s">
        <v>91</v>
      </c>
      <c r="W608">
        <v>5</v>
      </c>
      <c r="X608" s="1" t="s">
        <v>86</v>
      </c>
    </row>
    <row r="609" spans="1:24" x14ac:dyDescent="0.55000000000000004">
      <c r="A609" s="1" t="s">
        <v>693</v>
      </c>
      <c r="B609" s="1" t="s">
        <v>93</v>
      </c>
      <c r="C609">
        <v>29</v>
      </c>
      <c r="D609" s="1" t="s">
        <v>42</v>
      </c>
      <c r="E609" s="1" t="s">
        <v>84</v>
      </c>
      <c r="F609" s="1" t="s">
        <v>85</v>
      </c>
      <c r="G609" s="1" t="s">
        <v>29</v>
      </c>
      <c r="H609" s="1" t="s">
        <v>65</v>
      </c>
      <c r="I609" s="1" t="s">
        <v>59</v>
      </c>
      <c r="J609" s="1" t="s">
        <v>54</v>
      </c>
      <c r="K609" s="1" t="s">
        <v>46</v>
      </c>
      <c r="L609" s="2">
        <v>46107</v>
      </c>
      <c r="M609" s="2">
        <v>46145</v>
      </c>
      <c r="N609">
        <v>1325474</v>
      </c>
      <c r="O609">
        <v>30957</v>
      </c>
      <c r="P609">
        <v>1294517</v>
      </c>
      <c r="Q609" s="1" t="s">
        <v>78</v>
      </c>
      <c r="R609" s="1" t="s">
        <v>48</v>
      </c>
      <c r="S609" s="1" t="s">
        <v>36</v>
      </c>
      <c r="T609" s="1" t="s">
        <v>36</v>
      </c>
      <c r="U609">
        <v>4.7</v>
      </c>
      <c r="V609" t="s">
        <v>38</v>
      </c>
      <c r="W609">
        <v>5</v>
      </c>
      <c r="X609" s="1" t="s">
        <v>86</v>
      </c>
    </row>
    <row r="610" spans="1:24" x14ac:dyDescent="0.55000000000000004">
      <c r="A610" s="1" t="s">
        <v>694</v>
      </c>
      <c r="B610" s="1" t="s">
        <v>51</v>
      </c>
      <c r="C610">
        <v>39</v>
      </c>
      <c r="D610" s="1" t="s">
        <v>42</v>
      </c>
      <c r="E610" s="1" t="s">
        <v>71</v>
      </c>
      <c r="F610" s="1" t="s">
        <v>72</v>
      </c>
      <c r="G610" s="1" t="s">
        <v>29</v>
      </c>
      <c r="H610" s="1" t="s">
        <v>77</v>
      </c>
      <c r="I610" s="1" t="s">
        <v>74</v>
      </c>
      <c r="J610" s="1" t="s">
        <v>32</v>
      </c>
      <c r="K610" s="1" t="s">
        <v>46</v>
      </c>
      <c r="L610" s="2">
        <v>45675</v>
      </c>
      <c r="M610" s="2">
        <v>45716</v>
      </c>
      <c r="N610">
        <v>1310378</v>
      </c>
      <c r="O610">
        <v>81554</v>
      </c>
      <c r="P610">
        <v>1228824</v>
      </c>
      <c r="Q610" s="1" t="s">
        <v>66</v>
      </c>
      <c r="R610" s="1" t="s">
        <v>109</v>
      </c>
      <c r="S610" s="1" t="s">
        <v>36</v>
      </c>
      <c r="T610" s="1" t="s">
        <v>36</v>
      </c>
      <c r="U610">
        <v>4</v>
      </c>
      <c r="V610" t="s">
        <v>38</v>
      </c>
      <c r="W610">
        <v>2</v>
      </c>
      <c r="X610" s="1" t="s">
        <v>107</v>
      </c>
    </row>
    <row r="611" spans="1:24" x14ac:dyDescent="0.55000000000000004">
      <c r="A611" s="1" t="s">
        <v>695</v>
      </c>
      <c r="B611" s="1" t="s">
        <v>93</v>
      </c>
      <c r="C611">
        <v>22</v>
      </c>
      <c r="D611" s="1" t="s">
        <v>42</v>
      </c>
      <c r="E611" s="1" t="s">
        <v>43</v>
      </c>
      <c r="F611" s="1" t="s">
        <v>44</v>
      </c>
      <c r="G611" s="1" t="s">
        <v>29</v>
      </c>
      <c r="H611" s="1" t="s">
        <v>30</v>
      </c>
      <c r="I611" s="1" t="s">
        <v>59</v>
      </c>
      <c r="J611" s="1" t="s">
        <v>32</v>
      </c>
      <c r="K611" s="1" t="s">
        <v>33</v>
      </c>
      <c r="L611" s="2">
        <v>46041</v>
      </c>
      <c r="M611" s="2">
        <v>46049</v>
      </c>
      <c r="N611">
        <v>1588126</v>
      </c>
      <c r="O611">
        <v>40293</v>
      </c>
      <c r="P611">
        <v>1547833</v>
      </c>
      <c r="Q611" s="1" t="s">
        <v>66</v>
      </c>
      <c r="R611" s="1" t="s">
        <v>67</v>
      </c>
      <c r="S611" s="1" t="s">
        <v>36</v>
      </c>
      <c r="T611" s="1" t="s">
        <v>36</v>
      </c>
      <c r="U611">
        <v>4</v>
      </c>
      <c r="V611" t="s">
        <v>91</v>
      </c>
      <c r="W611">
        <v>1</v>
      </c>
      <c r="X611" s="1" t="s">
        <v>88</v>
      </c>
    </row>
    <row r="612" spans="1:24" x14ac:dyDescent="0.55000000000000004">
      <c r="A612" s="1" t="s">
        <v>696</v>
      </c>
      <c r="B612" s="1" t="s">
        <v>51</v>
      </c>
      <c r="C612">
        <v>38</v>
      </c>
      <c r="D612" s="1" t="s">
        <v>42</v>
      </c>
      <c r="E612" s="1" t="s">
        <v>84</v>
      </c>
      <c r="F612" s="1" t="s">
        <v>85</v>
      </c>
      <c r="G612" s="1" t="s">
        <v>29</v>
      </c>
      <c r="H612" s="1" t="s">
        <v>30</v>
      </c>
      <c r="I612" s="1" t="s">
        <v>53</v>
      </c>
      <c r="J612" s="1" t="s">
        <v>32</v>
      </c>
      <c r="K612" s="1" t="s">
        <v>33</v>
      </c>
      <c r="L612" s="2">
        <v>45662</v>
      </c>
      <c r="M612" s="2">
        <v>45701</v>
      </c>
      <c r="N612">
        <v>1321657</v>
      </c>
      <c r="O612">
        <v>40171</v>
      </c>
      <c r="P612">
        <v>1281486</v>
      </c>
      <c r="Q612" s="1" t="s">
        <v>47</v>
      </c>
      <c r="R612" s="1" t="s">
        <v>79</v>
      </c>
      <c r="S612" s="1" t="s">
        <v>37</v>
      </c>
      <c r="T612" s="1" t="s">
        <v>37</v>
      </c>
      <c r="U612">
        <v>3.7</v>
      </c>
      <c r="V612" t="s">
        <v>38</v>
      </c>
      <c r="W612">
        <v>2</v>
      </c>
      <c r="X612" s="1" t="s">
        <v>107</v>
      </c>
    </row>
    <row r="613" spans="1:24" x14ac:dyDescent="0.55000000000000004">
      <c r="A613" s="1" t="s">
        <v>697</v>
      </c>
      <c r="B613" s="1" t="s">
        <v>93</v>
      </c>
      <c r="C613">
        <v>32</v>
      </c>
      <c r="D613" s="1" t="s">
        <v>26</v>
      </c>
      <c r="E613" s="1" t="s">
        <v>90</v>
      </c>
      <c r="F613" s="1" t="s">
        <v>44</v>
      </c>
      <c r="G613" s="1" t="s">
        <v>29</v>
      </c>
      <c r="H613" s="1" t="s">
        <v>65</v>
      </c>
      <c r="I613" s="1" t="s">
        <v>74</v>
      </c>
      <c r="J613" s="1" t="s">
        <v>54</v>
      </c>
      <c r="K613" s="1" t="s">
        <v>33</v>
      </c>
      <c r="L613" s="2">
        <v>45720</v>
      </c>
      <c r="M613" s="2">
        <v>45737</v>
      </c>
      <c r="N613">
        <v>1694490</v>
      </c>
      <c r="O613">
        <v>84360</v>
      </c>
      <c r="P613">
        <v>1610130</v>
      </c>
      <c r="Q613" s="1" t="s">
        <v>78</v>
      </c>
      <c r="R613" s="1" t="s">
        <v>109</v>
      </c>
      <c r="S613" s="1" t="s">
        <v>36</v>
      </c>
      <c r="T613" s="1" t="s">
        <v>37</v>
      </c>
      <c r="U613">
        <v>4.7</v>
      </c>
      <c r="V613" t="s">
        <v>56</v>
      </c>
      <c r="W613">
        <v>3</v>
      </c>
      <c r="X613" s="1" t="s">
        <v>96</v>
      </c>
    </row>
    <row r="614" spans="1:24" x14ac:dyDescent="0.55000000000000004">
      <c r="A614" s="1" t="s">
        <v>698</v>
      </c>
      <c r="B614" s="1" t="s">
        <v>81</v>
      </c>
      <c r="C614">
        <v>52</v>
      </c>
      <c r="D614" s="1" t="s">
        <v>26</v>
      </c>
      <c r="E614" s="1" t="s">
        <v>43</v>
      </c>
      <c r="F614" s="1" t="s">
        <v>44</v>
      </c>
      <c r="G614" s="1" t="s">
        <v>29</v>
      </c>
      <c r="H614" s="1" t="s">
        <v>30</v>
      </c>
      <c r="I614" s="1" t="s">
        <v>59</v>
      </c>
      <c r="J614" s="1" t="s">
        <v>54</v>
      </c>
      <c r="K614" s="1" t="s">
        <v>46</v>
      </c>
      <c r="L614" s="2">
        <v>46027</v>
      </c>
      <c r="M614" s="2">
        <v>46065</v>
      </c>
      <c r="N614">
        <v>1401867</v>
      </c>
      <c r="O614">
        <v>60096</v>
      </c>
      <c r="P614">
        <v>1341771</v>
      </c>
      <c r="Q614" s="1" t="s">
        <v>66</v>
      </c>
      <c r="R614" s="1" t="s">
        <v>35</v>
      </c>
      <c r="S614" s="1" t="s">
        <v>36</v>
      </c>
      <c r="T614" s="1" t="s">
        <v>36</v>
      </c>
      <c r="U614">
        <v>3.2</v>
      </c>
      <c r="V614" t="s">
        <v>38</v>
      </c>
      <c r="W614">
        <v>2</v>
      </c>
      <c r="X614" s="1" t="s">
        <v>107</v>
      </c>
    </row>
    <row r="615" spans="1:24" x14ac:dyDescent="0.55000000000000004">
      <c r="A615" s="1" t="s">
        <v>699</v>
      </c>
      <c r="B615" s="1" t="s">
        <v>93</v>
      </c>
      <c r="C615">
        <v>49</v>
      </c>
      <c r="D615" s="1" t="s">
        <v>42</v>
      </c>
      <c r="E615" s="1" t="s">
        <v>90</v>
      </c>
      <c r="F615" s="1" t="s">
        <v>44</v>
      </c>
      <c r="G615" s="1" t="s">
        <v>29</v>
      </c>
      <c r="H615" s="1" t="s">
        <v>65</v>
      </c>
      <c r="I615" s="1" t="s">
        <v>45</v>
      </c>
      <c r="J615" s="1" t="s">
        <v>54</v>
      </c>
      <c r="K615" s="1" t="s">
        <v>46</v>
      </c>
      <c r="L615" s="2">
        <v>46086</v>
      </c>
      <c r="M615" s="2">
        <v>46128</v>
      </c>
      <c r="N615">
        <v>1859968</v>
      </c>
      <c r="O615">
        <v>85483</v>
      </c>
      <c r="P615">
        <v>1774485</v>
      </c>
      <c r="Q615" s="1" t="s">
        <v>34</v>
      </c>
      <c r="R615" s="1" t="s">
        <v>35</v>
      </c>
      <c r="S615" s="1" t="s">
        <v>36</v>
      </c>
      <c r="T615" s="1" t="s">
        <v>37</v>
      </c>
      <c r="U615">
        <v>3.5</v>
      </c>
      <c r="V615" t="s">
        <v>38</v>
      </c>
      <c r="W615">
        <v>4</v>
      </c>
      <c r="X615" s="1" t="s">
        <v>63</v>
      </c>
    </row>
    <row r="616" spans="1:24" x14ac:dyDescent="0.55000000000000004">
      <c r="A616" s="1" t="s">
        <v>700</v>
      </c>
      <c r="B616" s="1" t="s">
        <v>25</v>
      </c>
      <c r="C616">
        <v>58</v>
      </c>
      <c r="D616" s="1" t="s">
        <v>42</v>
      </c>
      <c r="E616" s="1" t="s">
        <v>52</v>
      </c>
      <c r="F616" s="1" t="s">
        <v>44</v>
      </c>
      <c r="G616" s="1" t="s">
        <v>29</v>
      </c>
      <c r="H616" s="1" t="s">
        <v>77</v>
      </c>
      <c r="I616" s="1" t="s">
        <v>53</v>
      </c>
      <c r="J616" s="1" t="s">
        <v>54</v>
      </c>
      <c r="K616" s="1" t="s">
        <v>33</v>
      </c>
      <c r="L616" s="2">
        <v>45902</v>
      </c>
      <c r="M616" s="2">
        <v>45938</v>
      </c>
      <c r="N616">
        <v>1358110</v>
      </c>
      <c r="O616">
        <v>50694</v>
      </c>
      <c r="P616">
        <v>1307416</v>
      </c>
      <c r="Q616" s="1" t="s">
        <v>34</v>
      </c>
      <c r="R616" s="1" t="s">
        <v>48</v>
      </c>
      <c r="S616" s="1" t="s">
        <v>36</v>
      </c>
      <c r="T616" s="1" t="s">
        <v>36</v>
      </c>
      <c r="U616">
        <v>3.6</v>
      </c>
      <c r="V616" t="s">
        <v>38</v>
      </c>
      <c r="W616">
        <v>10</v>
      </c>
      <c r="X616" s="1" t="s">
        <v>75</v>
      </c>
    </row>
    <row r="617" spans="1:24" x14ac:dyDescent="0.55000000000000004">
      <c r="A617" s="1" t="s">
        <v>701</v>
      </c>
      <c r="B617" s="1" t="s">
        <v>83</v>
      </c>
      <c r="C617">
        <v>50</v>
      </c>
      <c r="D617" s="1" t="s">
        <v>42</v>
      </c>
      <c r="E617" s="1" t="s">
        <v>84</v>
      </c>
      <c r="F617" s="1" t="s">
        <v>85</v>
      </c>
      <c r="G617" s="1" t="s">
        <v>29</v>
      </c>
      <c r="H617" s="1" t="s">
        <v>65</v>
      </c>
      <c r="I617" s="1" t="s">
        <v>74</v>
      </c>
      <c r="J617" s="1" t="s">
        <v>32</v>
      </c>
      <c r="K617" s="1" t="s">
        <v>46</v>
      </c>
      <c r="L617" s="2">
        <v>46132</v>
      </c>
      <c r="M617" s="2">
        <v>46160</v>
      </c>
      <c r="N617">
        <v>1814381</v>
      </c>
      <c r="O617">
        <v>10033</v>
      </c>
      <c r="P617">
        <v>1804348</v>
      </c>
      <c r="Q617" s="1" t="s">
        <v>47</v>
      </c>
      <c r="R617" s="1" t="s">
        <v>109</v>
      </c>
      <c r="S617" s="1" t="s">
        <v>36</v>
      </c>
      <c r="T617" s="1" t="s">
        <v>36</v>
      </c>
      <c r="U617">
        <v>4</v>
      </c>
      <c r="V617" t="s">
        <v>38</v>
      </c>
      <c r="W617">
        <v>5</v>
      </c>
      <c r="X617" s="1" t="s">
        <v>86</v>
      </c>
    </row>
    <row r="618" spans="1:24" x14ac:dyDescent="0.55000000000000004">
      <c r="A618" s="1" t="s">
        <v>702</v>
      </c>
      <c r="B618" s="1" t="s">
        <v>70</v>
      </c>
      <c r="C618">
        <v>41</v>
      </c>
      <c r="D618" s="1" t="s">
        <v>26</v>
      </c>
      <c r="E618" s="1" t="s">
        <v>71</v>
      </c>
      <c r="F618" s="1" t="s">
        <v>72</v>
      </c>
      <c r="G618" s="1" t="s">
        <v>29</v>
      </c>
      <c r="H618" s="1" t="s">
        <v>65</v>
      </c>
      <c r="I618" s="1" t="s">
        <v>74</v>
      </c>
      <c r="J618" s="1" t="s">
        <v>32</v>
      </c>
      <c r="K618" s="1" t="s">
        <v>33</v>
      </c>
      <c r="L618" s="2">
        <v>45892</v>
      </c>
      <c r="M618" s="2">
        <v>45899</v>
      </c>
      <c r="N618">
        <v>1860663</v>
      </c>
      <c r="O618">
        <v>94805</v>
      </c>
      <c r="P618">
        <v>1765858</v>
      </c>
      <c r="Q618" s="1" t="s">
        <v>55</v>
      </c>
      <c r="R618" s="1" t="s">
        <v>79</v>
      </c>
      <c r="S618" s="1" t="s">
        <v>36</v>
      </c>
      <c r="T618" s="1" t="s">
        <v>36</v>
      </c>
      <c r="U618">
        <v>4.8</v>
      </c>
      <c r="V618" t="s">
        <v>91</v>
      </c>
      <c r="W618">
        <v>8</v>
      </c>
      <c r="X618" s="1" t="s">
        <v>57</v>
      </c>
    </row>
    <row r="619" spans="1:24" x14ac:dyDescent="0.55000000000000004">
      <c r="A619" s="1" t="s">
        <v>703</v>
      </c>
      <c r="B619" s="1" t="s">
        <v>51</v>
      </c>
      <c r="C619">
        <v>24</v>
      </c>
      <c r="D619" s="1" t="s">
        <v>42</v>
      </c>
      <c r="E619" s="1" t="s">
        <v>43</v>
      </c>
      <c r="F619" s="1" t="s">
        <v>44</v>
      </c>
      <c r="G619" s="1" t="s">
        <v>29</v>
      </c>
      <c r="H619" s="1" t="s">
        <v>77</v>
      </c>
      <c r="I619" s="1" t="s">
        <v>31</v>
      </c>
      <c r="J619" s="1" t="s">
        <v>54</v>
      </c>
      <c r="K619" s="1" t="s">
        <v>33</v>
      </c>
      <c r="L619" s="2">
        <v>46106</v>
      </c>
      <c r="M619" s="2">
        <v>46148</v>
      </c>
      <c r="N619">
        <v>1533396</v>
      </c>
      <c r="O619">
        <v>49853</v>
      </c>
      <c r="P619">
        <v>1483543</v>
      </c>
      <c r="Q619" s="1" t="s">
        <v>47</v>
      </c>
      <c r="R619" s="1" t="s">
        <v>48</v>
      </c>
      <c r="S619" s="1" t="s">
        <v>36</v>
      </c>
      <c r="T619" s="1" t="s">
        <v>37</v>
      </c>
      <c r="U619">
        <v>3.5</v>
      </c>
      <c r="V619" t="s">
        <v>38</v>
      </c>
      <c r="W619">
        <v>5</v>
      </c>
      <c r="X619" s="1" t="s">
        <v>86</v>
      </c>
    </row>
    <row r="620" spans="1:24" x14ac:dyDescent="0.55000000000000004">
      <c r="A620" s="1" t="s">
        <v>704</v>
      </c>
      <c r="B620" s="1" t="s">
        <v>81</v>
      </c>
      <c r="C620">
        <v>28</v>
      </c>
      <c r="D620" s="1" t="s">
        <v>42</v>
      </c>
      <c r="E620" s="1" t="s">
        <v>27</v>
      </c>
      <c r="F620" s="1" t="s">
        <v>28</v>
      </c>
      <c r="G620" s="1" t="s">
        <v>29</v>
      </c>
      <c r="H620" s="1" t="s">
        <v>65</v>
      </c>
      <c r="I620" s="1" t="s">
        <v>74</v>
      </c>
      <c r="J620" s="1" t="s">
        <v>32</v>
      </c>
      <c r="K620" s="1" t="s">
        <v>33</v>
      </c>
      <c r="L620" s="2">
        <v>45719</v>
      </c>
      <c r="M620" s="2">
        <v>45758</v>
      </c>
      <c r="N620">
        <v>1584809</v>
      </c>
      <c r="O620">
        <v>38969</v>
      </c>
      <c r="P620">
        <v>1545840</v>
      </c>
      <c r="Q620" s="1" t="s">
        <v>34</v>
      </c>
      <c r="R620" s="1" t="s">
        <v>35</v>
      </c>
      <c r="S620" s="1" t="s">
        <v>36</v>
      </c>
      <c r="T620" s="1" t="s">
        <v>36</v>
      </c>
      <c r="U620">
        <v>4.7</v>
      </c>
      <c r="V620" t="s">
        <v>38</v>
      </c>
      <c r="W620">
        <v>4</v>
      </c>
      <c r="X620" s="1" t="s">
        <v>63</v>
      </c>
    </row>
    <row r="621" spans="1:24" x14ac:dyDescent="0.55000000000000004">
      <c r="A621" s="1" t="s">
        <v>705</v>
      </c>
      <c r="B621" s="1" t="s">
        <v>70</v>
      </c>
      <c r="C621">
        <v>29</v>
      </c>
      <c r="D621" s="1" t="s">
        <v>26</v>
      </c>
      <c r="E621" s="1" t="s">
        <v>52</v>
      </c>
      <c r="F621" s="1" t="s">
        <v>44</v>
      </c>
      <c r="G621" s="1" t="s">
        <v>29</v>
      </c>
      <c r="H621" s="1" t="s">
        <v>65</v>
      </c>
      <c r="I621" s="1" t="s">
        <v>31</v>
      </c>
      <c r="J621" s="1" t="s">
        <v>54</v>
      </c>
      <c r="K621" s="1" t="s">
        <v>46</v>
      </c>
      <c r="L621" s="2">
        <v>46037</v>
      </c>
      <c r="M621" s="2">
        <v>46055</v>
      </c>
      <c r="N621">
        <v>1387984</v>
      </c>
      <c r="O621">
        <v>18787</v>
      </c>
      <c r="P621">
        <v>1369197</v>
      </c>
      <c r="Q621" s="1" t="s">
        <v>66</v>
      </c>
      <c r="R621" s="1" t="s">
        <v>35</v>
      </c>
      <c r="S621" s="1" t="s">
        <v>37</v>
      </c>
      <c r="T621" s="1" t="s">
        <v>37</v>
      </c>
      <c r="U621">
        <v>3.4</v>
      </c>
      <c r="V621" t="s">
        <v>56</v>
      </c>
      <c r="W621">
        <v>2</v>
      </c>
      <c r="X621" s="1" t="s">
        <v>107</v>
      </c>
    </row>
    <row r="622" spans="1:24" x14ac:dyDescent="0.55000000000000004">
      <c r="A622" s="1" t="s">
        <v>706</v>
      </c>
      <c r="B622" s="1" t="s">
        <v>93</v>
      </c>
      <c r="C622">
        <v>57</v>
      </c>
      <c r="D622" s="1" t="s">
        <v>26</v>
      </c>
      <c r="E622" s="1" t="s">
        <v>84</v>
      </c>
      <c r="F622" s="1" t="s">
        <v>85</v>
      </c>
      <c r="G622" s="1" t="s">
        <v>29</v>
      </c>
      <c r="H622" s="1" t="s">
        <v>30</v>
      </c>
      <c r="I622" s="1" t="s">
        <v>59</v>
      </c>
      <c r="J622" s="1" t="s">
        <v>54</v>
      </c>
      <c r="K622" s="1" t="s">
        <v>33</v>
      </c>
      <c r="L622" s="2">
        <v>45716</v>
      </c>
      <c r="M622" s="2">
        <v>45759</v>
      </c>
      <c r="N622">
        <v>1340480</v>
      </c>
      <c r="O622">
        <v>67747</v>
      </c>
      <c r="P622">
        <v>1272733</v>
      </c>
      <c r="Q622" s="1" t="s">
        <v>34</v>
      </c>
      <c r="R622" s="1" t="s">
        <v>48</v>
      </c>
      <c r="S622" s="1" t="s">
        <v>36</v>
      </c>
      <c r="T622" s="1" t="s">
        <v>36</v>
      </c>
      <c r="U622">
        <v>4</v>
      </c>
      <c r="V622" t="s">
        <v>38</v>
      </c>
      <c r="W622">
        <v>4</v>
      </c>
      <c r="X622" s="1" t="s">
        <v>63</v>
      </c>
    </row>
    <row r="623" spans="1:24" x14ac:dyDescent="0.55000000000000004">
      <c r="A623" s="1" t="s">
        <v>707</v>
      </c>
      <c r="B623" s="1" t="s">
        <v>51</v>
      </c>
      <c r="C623">
        <v>40</v>
      </c>
      <c r="D623" s="1" t="s">
        <v>42</v>
      </c>
      <c r="E623" s="1" t="s">
        <v>84</v>
      </c>
      <c r="F623" s="1" t="s">
        <v>85</v>
      </c>
      <c r="G623" s="1" t="s">
        <v>29</v>
      </c>
      <c r="H623" s="1" t="s">
        <v>77</v>
      </c>
      <c r="I623" s="1" t="s">
        <v>59</v>
      </c>
      <c r="J623" s="1" t="s">
        <v>32</v>
      </c>
      <c r="K623" s="1" t="s">
        <v>46</v>
      </c>
      <c r="L623" s="2">
        <v>45674</v>
      </c>
      <c r="M623" s="2">
        <v>45716</v>
      </c>
      <c r="N623">
        <v>1419381</v>
      </c>
      <c r="O623">
        <v>48353</v>
      </c>
      <c r="P623">
        <v>1371028</v>
      </c>
      <c r="Q623" s="1" t="s">
        <v>34</v>
      </c>
      <c r="R623" s="1" t="s">
        <v>109</v>
      </c>
      <c r="S623" s="1" t="s">
        <v>37</v>
      </c>
      <c r="T623" s="1" t="s">
        <v>37</v>
      </c>
      <c r="U623">
        <v>3.2</v>
      </c>
      <c r="V623" t="s">
        <v>38</v>
      </c>
      <c r="W623">
        <v>2</v>
      </c>
      <c r="X623" s="1" t="s">
        <v>107</v>
      </c>
    </row>
    <row r="624" spans="1:24" x14ac:dyDescent="0.55000000000000004">
      <c r="A624" s="1" t="s">
        <v>708</v>
      </c>
      <c r="B624" s="1" t="s">
        <v>62</v>
      </c>
      <c r="C624">
        <v>43</v>
      </c>
      <c r="D624" s="1" t="s">
        <v>42</v>
      </c>
      <c r="E624" s="1" t="s">
        <v>43</v>
      </c>
      <c r="F624" s="1" t="s">
        <v>44</v>
      </c>
      <c r="G624" s="1" t="s">
        <v>29</v>
      </c>
      <c r="H624" s="1" t="s">
        <v>30</v>
      </c>
      <c r="I624" s="1" t="s">
        <v>53</v>
      </c>
      <c r="J624" s="1" t="s">
        <v>54</v>
      </c>
      <c r="K624" s="1" t="s">
        <v>46</v>
      </c>
      <c r="L624" s="2">
        <v>46114</v>
      </c>
      <c r="M624" s="2">
        <v>46129</v>
      </c>
      <c r="N624">
        <v>1526978</v>
      </c>
      <c r="O624">
        <v>33004</v>
      </c>
      <c r="P624">
        <v>1493974</v>
      </c>
      <c r="Q624" s="1" t="s">
        <v>55</v>
      </c>
      <c r="R624" s="1" t="s">
        <v>79</v>
      </c>
      <c r="S624" s="1" t="s">
        <v>36</v>
      </c>
      <c r="T624" s="1" t="s">
        <v>36</v>
      </c>
      <c r="U624">
        <v>3.2</v>
      </c>
      <c r="V624" t="s">
        <v>56</v>
      </c>
      <c r="W624">
        <v>4</v>
      </c>
      <c r="X624" s="1" t="s">
        <v>63</v>
      </c>
    </row>
    <row r="625" spans="1:24" x14ac:dyDescent="0.55000000000000004">
      <c r="A625" s="1" t="s">
        <v>709</v>
      </c>
      <c r="B625" s="1" t="s">
        <v>98</v>
      </c>
      <c r="C625">
        <v>43</v>
      </c>
      <c r="D625" s="1" t="s">
        <v>42</v>
      </c>
      <c r="E625" s="1" t="s">
        <v>52</v>
      </c>
      <c r="F625" s="1" t="s">
        <v>44</v>
      </c>
      <c r="G625" s="1" t="s">
        <v>29</v>
      </c>
      <c r="H625" s="1" t="s">
        <v>30</v>
      </c>
      <c r="I625" s="1" t="s">
        <v>31</v>
      </c>
      <c r="J625" s="1" t="s">
        <v>32</v>
      </c>
      <c r="K625" s="1" t="s">
        <v>46</v>
      </c>
      <c r="L625" s="2">
        <v>45875</v>
      </c>
      <c r="M625" s="2">
        <v>45886</v>
      </c>
      <c r="N625">
        <v>1522990</v>
      </c>
      <c r="O625">
        <v>44536</v>
      </c>
      <c r="P625">
        <v>1478454</v>
      </c>
      <c r="Q625" s="1" t="s">
        <v>55</v>
      </c>
      <c r="R625" s="1" t="s">
        <v>67</v>
      </c>
      <c r="S625" s="1" t="s">
        <v>37</v>
      </c>
      <c r="T625" s="1" t="s">
        <v>37</v>
      </c>
      <c r="U625">
        <v>3.7</v>
      </c>
      <c r="V625" t="s">
        <v>56</v>
      </c>
      <c r="W625">
        <v>8</v>
      </c>
      <c r="X625" s="1" t="s">
        <v>57</v>
      </c>
    </row>
    <row r="626" spans="1:24" x14ac:dyDescent="0.55000000000000004">
      <c r="A626" s="1" t="s">
        <v>710</v>
      </c>
      <c r="B626" s="1" t="s">
        <v>93</v>
      </c>
      <c r="C626">
        <v>35</v>
      </c>
      <c r="D626" s="1" t="s">
        <v>42</v>
      </c>
      <c r="E626" s="1" t="s">
        <v>90</v>
      </c>
      <c r="F626" s="1" t="s">
        <v>44</v>
      </c>
      <c r="G626" s="1" t="s">
        <v>29</v>
      </c>
      <c r="H626" s="1" t="s">
        <v>30</v>
      </c>
      <c r="I626" s="1" t="s">
        <v>31</v>
      </c>
      <c r="J626" s="1" t="s">
        <v>54</v>
      </c>
      <c r="K626" s="1" t="s">
        <v>46</v>
      </c>
      <c r="L626" s="2">
        <v>46011</v>
      </c>
      <c r="M626" s="2">
        <v>46048</v>
      </c>
      <c r="N626">
        <v>1596755</v>
      </c>
      <c r="O626">
        <v>44017</v>
      </c>
      <c r="P626">
        <v>1552738</v>
      </c>
      <c r="Q626" s="1" t="s">
        <v>47</v>
      </c>
      <c r="R626" s="1" t="s">
        <v>79</v>
      </c>
      <c r="S626" s="1" t="s">
        <v>36</v>
      </c>
      <c r="T626" s="1" t="s">
        <v>36</v>
      </c>
      <c r="U626">
        <v>4.9000000000000004</v>
      </c>
      <c r="V626" t="s">
        <v>38</v>
      </c>
      <c r="W626">
        <v>1</v>
      </c>
      <c r="X626" s="1" t="s">
        <v>88</v>
      </c>
    </row>
    <row r="627" spans="1:24" x14ac:dyDescent="0.55000000000000004">
      <c r="A627" s="1" t="s">
        <v>711</v>
      </c>
      <c r="B627" s="1" t="s">
        <v>83</v>
      </c>
      <c r="C627">
        <v>22</v>
      </c>
      <c r="D627" s="1" t="s">
        <v>26</v>
      </c>
      <c r="E627" s="1" t="s">
        <v>71</v>
      </c>
      <c r="F627" s="1" t="s">
        <v>72</v>
      </c>
      <c r="G627" s="1" t="s">
        <v>29</v>
      </c>
      <c r="H627" s="1" t="s">
        <v>65</v>
      </c>
      <c r="I627" s="1" t="s">
        <v>31</v>
      </c>
      <c r="J627" s="1" t="s">
        <v>54</v>
      </c>
      <c r="K627" s="1" t="s">
        <v>46</v>
      </c>
      <c r="L627" s="2">
        <v>45841</v>
      </c>
      <c r="M627" s="2">
        <v>45881</v>
      </c>
      <c r="N627">
        <v>1851897</v>
      </c>
      <c r="O627">
        <v>86320</v>
      </c>
      <c r="P627">
        <v>1765577</v>
      </c>
      <c r="Q627" s="1" t="s">
        <v>66</v>
      </c>
      <c r="R627" s="1" t="s">
        <v>109</v>
      </c>
      <c r="S627" s="1" t="s">
        <v>37</v>
      </c>
      <c r="T627" s="1" t="s">
        <v>37</v>
      </c>
      <c r="U627">
        <v>3.3</v>
      </c>
      <c r="V627" t="s">
        <v>38</v>
      </c>
      <c r="W627">
        <v>8</v>
      </c>
      <c r="X627" s="1" t="s">
        <v>57</v>
      </c>
    </row>
    <row r="628" spans="1:24" x14ac:dyDescent="0.55000000000000004">
      <c r="A628" s="1" t="s">
        <v>712</v>
      </c>
      <c r="B628" s="1" t="s">
        <v>70</v>
      </c>
      <c r="C628">
        <v>29</v>
      </c>
      <c r="D628" s="1" t="s">
        <v>42</v>
      </c>
      <c r="E628" s="1" t="s">
        <v>71</v>
      </c>
      <c r="F628" s="1" t="s">
        <v>72</v>
      </c>
      <c r="G628" s="1" t="s">
        <v>29</v>
      </c>
      <c r="H628" s="1" t="s">
        <v>30</v>
      </c>
      <c r="I628" s="1" t="s">
        <v>31</v>
      </c>
      <c r="J628" s="1" t="s">
        <v>32</v>
      </c>
      <c r="K628" s="1" t="s">
        <v>33</v>
      </c>
      <c r="L628" s="2">
        <v>46103</v>
      </c>
      <c r="M628" s="2">
        <v>46138</v>
      </c>
      <c r="N628">
        <v>1711231</v>
      </c>
      <c r="O628">
        <v>84552</v>
      </c>
      <c r="P628">
        <v>1626679</v>
      </c>
      <c r="Q628" s="1" t="s">
        <v>47</v>
      </c>
      <c r="R628" s="1" t="s">
        <v>48</v>
      </c>
      <c r="S628" s="1" t="s">
        <v>37</v>
      </c>
      <c r="T628" s="1" t="s">
        <v>36</v>
      </c>
      <c r="U628">
        <v>3.1</v>
      </c>
      <c r="V628" t="s">
        <v>38</v>
      </c>
      <c r="W628">
        <v>4</v>
      </c>
      <c r="X628" s="1" t="s">
        <v>63</v>
      </c>
    </row>
    <row r="629" spans="1:24" x14ac:dyDescent="0.55000000000000004">
      <c r="A629" s="1" t="s">
        <v>713</v>
      </c>
      <c r="B629" s="1" t="s">
        <v>51</v>
      </c>
      <c r="C629">
        <v>45</v>
      </c>
      <c r="D629" s="1" t="s">
        <v>26</v>
      </c>
      <c r="E629" s="1" t="s">
        <v>43</v>
      </c>
      <c r="F629" s="1" t="s">
        <v>44</v>
      </c>
      <c r="G629" s="1" t="s">
        <v>29</v>
      </c>
      <c r="H629" s="1" t="s">
        <v>30</v>
      </c>
      <c r="I629" s="1" t="s">
        <v>53</v>
      </c>
      <c r="J629" s="1" t="s">
        <v>32</v>
      </c>
      <c r="K629" s="1" t="s">
        <v>46</v>
      </c>
      <c r="L629" s="2">
        <v>45882</v>
      </c>
      <c r="M629" s="2">
        <v>45904</v>
      </c>
      <c r="N629">
        <v>1697031</v>
      </c>
      <c r="O629">
        <v>96609</v>
      </c>
      <c r="P629">
        <v>1600422</v>
      </c>
      <c r="Q629" s="1" t="s">
        <v>55</v>
      </c>
      <c r="R629" s="1" t="s">
        <v>48</v>
      </c>
      <c r="S629" s="1" t="s">
        <v>37</v>
      </c>
      <c r="T629" s="1" t="s">
        <v>37</v>
      </c>
      <c r="U629">
        <v>4.7</v>
      </c>
      <c r="V629" t="s">
        <v>38</v>
      </c>
      <c r="W629">
        <v>9</v>
      </c>
      <c r="X629" s="1" t="s">
        <v>103</v>
      </c>
    </row>
    <row r="630" spans="1:24" x14ac:dyDescent="0.55000000000000004">
      <c r="A630" s="1" t="s">
        <v>714</v>
      </c>
      <c r="B630" s="1" t="s">
        <v>81</v>
      </c>
      <c r="C630">
        <v>32</v>
      </c>
      <c r="D630" s="1" t="s">
        <v>42</v>
      </c>
      <c r="E630" s="1" t="s">
        <v>43</v>
      </c>
      <c r="F630" s="1" t="s">
        <v>44</v>
      </c>
      <c r="G630" s="1" t="s">
        <v>29</v>
      </c>
      <c r="H630" s="1" t="s">
        <v>65</v>
      </c>
      <c r="I630" s="1" t="s">
        <v>74</v>
      </c>
      <c r="J630" s="1" t="s">
        <v>54</v>
      </c>
      <c r="K630" s="1" t="s">
        <v>46</v>
      </c>
      <c r="L630" s="2">
        <v>45679</v>
      </c>
      <c r="M630" s="2">
        <v>45723</v>
      </c>
      <c r="N630">
        <v>1590683</v>
      </c>
      <c r="O630">
        <v>27721</v>
      </c>
      <c r="P630">
        <v>1562962</v>
      </c>
      <c r="Q630" s="1" t="s">
        <v>34</v>
      </c>
      <c r="R630" s="1" t="s">
        <v>79</v>
      </c>
      <c r="S630" s="1" t="s">
        <v>36</v>
      </c>
      <c r="T630" s="1" t="s">
        <v>36</v>
      </c>
      <c r="U630">
        <v>4.4000000000000004</v>
      </c>
      <c r="V630" t="s">
        <v>38</v>
      </c>
      <c r="W630">
        <v>3</v>
      </c>
      <c r="X630" s="1" t="s">
        <v>96</v>
      </c>
    </row>
    <row r="631" spans="1:24" x14ac:dyDescent="0.55000000000000004">
      <c r="A631" s="1" t="s">
        <v>715</v>
      </c>
      <c r="B631" s="1" t="s">
        <v>51</v>
      </c>
      <c r="C631">
        <v>46</v>
      </c>
      <c r="D631" s="1" t="s">
        <v>42</v>
      </c>
      <c r="E631" s="1" t="s">
        <v>71</v>
      </c>
      <c r="F631" s="1" t="s">
        <v>72</v>
      </c>
      <c r="G631" s="1" t="s">
        <v>29</v>
      </c>
      <c r="H631" s="1" t="s">
        <v>30</v>
      </c>
      <c r="I631" s="1" t="s">
        <v>45</v>
      </c>
      <c r="J631" s="1" t="s">
        <v>32</v>
      </c>
      <c r="K631" s="1" t="s">
        <v>46</v>
      </c>
      <c r="L631" s="2">
        <v>45807</v>
      </c>
      <c r="M631" s="2">
        <v>45841</v>
      </c>
      <c r="N631">
        <v>1360435</v>
      </c>
      <c r="O631">
        <v>75997</v>
      </c>
      <c r="P631">
        <v>1284438</v>
      </c>
      <c r="Q631" s="1" t="s">
        <v>78</v>
      </c>
      <c r="R631" s="1" t="s">
        <v>48</v>
      </c>
      <c r="S631" s="1" t="s">
        <v>37</v>
      </c>
      <c r="T631" s="1" t="s">
        <v>37</v>
      </c>
      <c r="U631">
        <v>3.1</v>
      </c>
      <c r="V631" t="s">
        <v>38</v>
      </c>
      <c r="W631">
        <v>7</v>
      </c>
      <c r="X631" s="1" t="s">
        <v>39</v>
      </c>
    </row>
    <row r="632" spans="1:24" x14ac:dyDescent="0.55000000000000004">
      <c r="A632" s="1" t="s">
        <v>716</v>
      </c>
      <c r="B632" s="1" t="s">
        <v>70</v>
      </c>
      <c r="C632">
        <v>21</v>
      </c>
      <c r="D632" s="1" t="s">
        <v>26</v>
      </c>
      <c r="E632" s="1" t="s">
        <v>90</v>
      </c>
      <c r="F632" s="1" t="s">
        <v>44</v>
      </c>
      <c r="G632" s="1" t="s">
        <v>29</v>
      </c>
      <c r="H632" s="1" t="s">
        <v>30</v>
      </c>
      <c r="I632" s="1" t="s">
        <v>59</v>
      </c>
      <c r="J632" s="1" t="s">
        <v>54</v>
      </c>
      <c r="K632" s="1" t="s">
        <v>46</v>
      </c>
      <c r="L632" s="2">
        <v>45948</v>
      </c>
      <c r="M632" s="2">
        <v>45992</v>
      </c>
      <c r="N632">
        <v>1519591</v>
      </c>
      <c r="O632">
        <v>35035</v>
      </c>
      <c r="P632">
        <v>1484556</v>
      </c>
      <c r="Q632" s="1" t="s">
        <v>66</v>
      </c>
      <c r="R632" s="1" t="s">
        <v>35</v>
      </c>
      <c r="S632" s="1" t="s">
        <v>37</v>
      </c>
      <c r="T632" s="1" t="s">
        <v>36</v>
      </c>
      <c r="U632">
        <v>3.8</v>
      </c>
      <c r="V632" t="s">
        <v>38</v>
      </c>
      <c r="W632">
        <v>12</v>
      </c>
      <c r="X632" s="1" t="s">
        <v>49</v>
      </c>
    </row>
    <row r="633" spans="1:24" x14ac:dyDescent="0.55000000000000004">
      <c r="A633" s="1" t="s">
        <v>717</v>
      </c>
      <c r="B633" s="1" t="s">
        <v>105</v>
      </c>
      <c r="C633">
        <v>57</v>
      </c>
      <c r="D633" s="1" t="s">
        <v>42</v>
      </c>
      <c r="E633" s="1" t="s">
        <v>43</v>
      </c>
      <c r="F633" s="1" t="s">
        <v>44</v>
      </c>
      <c r="G633" s="1" t="s">
        <v>29</v>
      </c>
      <c r="H633" s="1" t="s">
        <v>77</v>
      </c>
      <c r="I633" s="1" t="s">
        <v>45</v>
      </c>
      <c r="J633" s="1" t="s">
        <v>54</v>
      </c>
      <c r="K633" s="1" t="s">
        <v>33</v>
      </c>
      <c r="L633" s="2">
        <v>46193</v>
      </c>
      <c r="M633" s="2">
        <v>46223</v>
      </c>
      <c r="N633">
        <v>1505336</v>
      </c>
      <c r="O633">
        <v>50026</v>
      </c>
      <c r="P633">
        <v>1455310</v>
      </c>
      <c r="Q633" s="1" t="s">
        <v>66</v>
      </c>
      <c r="R633" s="1" t="s">
        <v>109</v>
      </c>
      <c r="S633" s="1" t="s">
        <v>37</v>
      </c>
      <c r="T633" s="1" t="s">
        <v>37</v>
      </c>
      <c r="U633">
        <v>4.4000000000000004</v>
      </c>
      <c r="V633" t="s">
        <v>38</v>
      </c>
      <c r="W633">
        <v>7</v>
      </c>
      <c r="X633" s="1" t="s">
        <v>39</v>
      </c>
    </row>
    <row r="634" spans="1:24" x14ac:dyDescent="0.55000000000000004">
      <c r="A634" s="1" t="s">
        <v>718</v>
      </c>
      <c r="B634" s="1" t="s">
        <v>98</v>
      </c>
      <c r="C634">
        <v>29</v>
      </c>
      <c r="D634" s="1" t="s">
        <v>26</v>
      </c>
      <c r="E634" s="1" t="s">
        <v>84</v>
      </c>
      <c r="F634" s="1" t="s">
        <v>85</v>
      </c>
      <c r="G634" s="1" t="s">
        <v>29</v>
      </c>
      <c r="H634" s="1" t="s">
        <v>30</v>
      </c>
      <c r="I634" s="1" t="s">
        <v>74</v>
      </c>
      <c r="J634" s="1" t="s">
        <v>54</v>
      </c>
      <c r="K634" s="1" t="s">
        <v>46</v>
      </c>
      <c r="L634" s="2">
        <v>46003</v>
      </c>
      <c r="M634" s="2">
        <v>46011</v>
      </c>
      <c r="N634">
        <v>1895846</v>
      </c>
      <c r="O634">
        <v>99349</v>
      </c>
      <c r="P634">
        <v>1796497</v>
      </c>
      <c r="Q634" s="1" t="s">
        <v>55</v>
      </c>
      <c r="R634" s="1" t="s">
        <v>79</v>
      </c>
      <c r="S634" s="1" t="s">
        <v>37</v>
      </c>
      <c r="T634" s="1" t="s">
        <v>37</v>
      </c>
      <c r="U634">
        <v>3</v>
      </c>
      <c r="V634" t="s">
        <v>91</v>
      </c>
      <c r="W634">
        <v>12</v>
      </c>
      <c r="X634" s="1" t="s">
        <v>49</v>
      </c>
    </row>
    <row r="635" spans="1:24" x14ac:dyDescent="0.55000000000000004">
      <c r="A635" s="1" t="s">
        <v>719</v>
      </c>
      <c r="B635" s="1" t="s">
        <v>25</v>
      </c>
      <c r="C635">
        <v>42</v>
      </c>
      <c r="D635" s="1" t="s">
        <v>26</v>
      </c>
      <c r="E635" s="1" t="s">
        <v>27</v>
      </c>
      <c r="F635" s="1" t="s">
        <v>28</v>
      </c>
      <c r="G635" s="1" t="s">
        <v>29</v>
      </c>
      <c r="H635" s="1" t="s">
        <v>30</v>
      </c>
      <c r="I635" s="1" t="s">
        <v>74</v>
      </c>
      <c r="J635" s="1" t="s">
        <v>54</v>
      </c>
      <c r="K635" s="1" t="s">
        <v>46</v>
      </c>
      <c r="L635" s="2">
        <v>45708</v>
      </c>
      <c r="M635" s="2">
        <v>45738</v>
      </c>
      <c r="N635">
        <v>1899448</v>
      </c>
      <c r="O635">
        <v>64205</v>
      </c>
      <c r="P635">
        <v>1835243</v>
      </c>
      <c r="Q635" s="1" t="s">
        <v>47</v>
      </c>
      <c r="R635" s="1" t="s">
        <v>109</v>
      </c>
      <c r="S635" s="1" t="s">
        <v>37</v>
      </c>
      <c r="T635" s="1" t="s">
        <v>36</v>
      </c>
      <c r="U635">
        <v>4</v>
      </c>
      <c r="V635" t="s">
        <v>38</v>
      </c>
      <c r="W635">
        <v>3</v>
      </c>
      <c r="X635" s="1" t="s">
        <v>96</v>
      </c>
    </row>
    <row r="636" spans="1:24" x14ac:dyDescent="0.55000000000000004">
      <c r="A636" s="1" t="s">
        <v>720</v>
      </c>
      <c r="B636" s="1" t="s">
        <v>41</v>
      </c>
      <c r="C636">
        <v>24</v>
      </c>
      <c r="D636" s="1" t="s">
        <v>26</v>
      </c>
      <c r="E636" s="1" t="s">
        <v>84</v>
      </c>
      <c r="F636" s="1" t="s">
        <v>85</v>
      </c>
      <c r="G636" s="1" t="s">
        <v>29</v>
      </c>
      <c r="H636" s="1" t="s">
        <v>30</v>
      </c>
      <c r="I636" s="1" t="s">
        <v>53</v>
      </c>
      <c r="J636" s="1" t="s">
        <v>54</v>
      </c>
      <c r="K636" s="1" t="s">
        <v>46</v>
      </c>
      <c r="L636" s="2">
        <v>45741</v>
      </c>
      <c r="M636" s="2">
        <v>45750</v>
      </c>
      <c r="N636">
        <v>1657890</v>
      </c>
      <c r="O636">
        <v>55203</v>
      </c>
      <c r="P636">
        <v>1602687</v>
      </c>
      <c r="Q636" s="1" t="s">
        <v>47</v>
      </c>
      <c r="R636" s="1" t="s">
        <v>79</v>
      </c>
      <c r="S636" s="1" t="s">
        <v>36</v>
      </c>
      <c r="T636" s="1" t="s">
        <v>37</v>
      </c>
      <c r="U636">
        <v>3.8</v>
      </c>
      <c r="V636" t="s">
        <v>91</v>
      </c>
      <c r="W636">
        <v>4</v>
      </c>
      <c r="X636" s="1" t="s">
        <v>63</v>
      </c>
    </row>
    <row r="637" spans="1:24" x14ac:dyDescent="0.55000000000000004">
      <c r="A637" s="1" t="s">
        <v>721</v>
      </c>
      <c r="B637" s="1" t="s">
        <v>93</v>
      </c>
      <c r="C637">
        <v>50</v>
      </c>
      <c r="D637" s="1" t="s">
        <v>42</v>
      </c>
      <c r="E637" s="1" t="s">
        <v>43</v>
      </c>
      <c r="F637" s="1" t="s">
        <v>44</v>
      </c>
      <c r="G637" s="1" t="s">
        <v>29</v>
      </c>
      <c r="H637" s="1" t="s">
        <v>65</v>
      </c>
      <c r="I637" s="1" t="s">
        <v>45</v>
      </c>
      <c r="J637" s="1" t="s">
        <v>32</v>
      </c>
      <c r="K637" s="1" t="s">
        <v>46</v>
      </c>
      <c r="L637" s="2">
        <v>46113</v>
      </c>
      <c r="M637" s="2">
        <v>46139</v>
      </c>
      <c r="N637">
        <v>1751183</v>
      </c>
      <c r="O637">
        <v>71305</v>
      </c>
      <c r="P637">
        <v>1679878</v>
      </c>
      <c r="Q637" s="1" t="s">
        <v>66</v>
      </c>
      <c r="R637" s="1" t="s">
        <v>35</v>
      </c>
      <c r="S637" s="1" t="s">
        <v>37</v>
      </c>
      <c r="T637" s="1" t="s">
        <v>37</v>
      </c>
      <c r="U637">
        <v>4.0999999999999996</v>
      </c>
      <c r="V637" t="s">
        <v>38</v>
      </c>
      <c r="W637">
        <v>4</v>
      </c>
      <c r="X637" s="1" t="s">
        <v>63</v>
      </c>
    </row>
    <row r="638" spans="1:24" x14ac:dyDescent="0.55000000000000004">
      <c r="A638" s="1" t="s">
        <v>722</v>
      </c>
      <c r="B638" s="1" t="s">
        <v>70</v>
      </c>
      <c r="C638">
        <v>30</v>
      </c>
      <c r="D638" s="1" t="s">
        <v>42</v>
      </c>
      <c r="E638" s="1" t="s">
        <v>90</v>
      </c>
      <c r="F638" s="1" t="s">
        <v>44</v>
      </c>
      <c r="G638" s="1" t="s">
        <v>29</v>
      </c>
      <c r="H638" s="1" t="s">
        <v>77</v>
      </c>
      <c r="I638" s="1" t="s">
        <v>59</v>
      </c>
      <c r="J638" s="1" t="s">
        <v>32</v>
      </c>
      <c r="K638" s="1" t="s">
        <v>33</v>
      </c>
      <c r="L638" s="2">
        <v>46005</v>
      </c>
      <c r="M638" s="2">
        <v>46028</v>
      </c>
      <c r="N638">
        <v>1645839</v>
      </c>
      <c r="O638">
        <v>82327</v>
      </c>
      <c r="P638">
        <v>1563512</v>
      </c>
      <c r="Q638" s="1" t="s">
        <v>55</v>
      </c>
      <c r="R638" s="1" t="s">
        <v>79</v>
      </c>
      <c r="S638" s="1" t="s">
        <v>36</v>
      </c>
      <c r="T638" s="1" t="s">
        <v>36</v>
      </c>
      <c r="U638">
        <v>4.9000000000000004</v>
      </c>
      <c r="V638" t="s">
        <v>38</v>
      </c>
      <c r="W638">
        <v>1</v>
      </c>
      <c r="X638" s="1" t="s">
        <v>88</v>
      </c>
    </row>
    <row r="639" spans="1:24" x14ac:dyDescent="0.55000000000000004">
      <c r="A639" s="1" t="s">
        <v>723</v>
      </c>
      <c r="B639" s="1" t="s">
        <v>81</v>
      </c>
      <c r="C639">
        <v>36</v>
      </c>
      <c r="D639" s="1" t="s">
        <v>26</v>
      </c>
      <c r="E639" s="1" t="s">
        <v>43</v>
      </c>
      <c r="F639" s="1" t="s">
        <v>44</v>
      </c>
      <c r="G639" s="1" t="s">
        <v>29</v>
      </c>
      <c r="H639" s="1" t="s">
        <v>30</v>
      </c>
      <c r="I639" s="1" t="s">
        <v>31</v>
      </c>
      <c r="J639" s="1" t="s">
        <v>32</v>
      </c>
      <c r="K639" s="1" t="s">
        <v>33</v>
      </c>
      <c r="L639" s="2">
        <v>46138</v>
      </c>
      <c r="M639" s="2">
        <v>46172</v>
      </c>
      <c r="N639">
        <v>1394062</v>
      </c>
      <c r="O639">
        <v>11176</v>
      </c>
      <c r="P639">
        <v>1382886</v>
      </c>
      <c r="Q639" s="1" t="s">
        <v>78</v>
      </c>
      <c r="R639" s="1" t="s">
        <v>109</v>
      </c>
      <c r="S639" s="1" t="s">
        <v>36</v>
      </c>
      <c r="T639" s="1" t="s">
        <v>37</v>
      </c>
      <c r="U639">
        <v>4.8</v>
      </c>
      <c r="V639" t="s">
        <v>38</v>
      </c>
      <c r="W639">
        <v>5</v>
      </c>
      <c r="X639" s="1" t="s">
        <v>86</v>
      </c>
    </row>
    <row r="640" spans="1:24" x14ac:dyDescent="0.55000000000000004">
      <c r="A640" s="1" t="s">
        <v>724</v>
      </c>
      <c r="B640" s="1" t="s">
        <v>62</v>
      </c>
      <c r="C640">
        <v>37</v>
      </c>
      <c r="D640" s="1" t="s">
        <v>26</v>
      </c>
      <c r="E640" s="1" t="s">
        <v>52</v>
      </c>
      <c r="F640" s="1" t="s">
        <v>44</v>
      </c>
      <c r="G640" s="1" t="s">
        <v>29</v>
      </c>
      <c r="H640" s="1" t="s">
        <v>65</v>
      </c>
      <c r="I640" s="1" t="s">
        <v>31</v>
      </c>
      <c r="J640" s="1" t="s">
        <v>32</v>
      </c>
      <c r="K640" s="1" t="s">
        <v>33</v>
      </c>
      <c r="L640" s="2">
        <v>45670</v>
      </c>
      <c r="M640" s="2">
        <v>45715</v>
      </c>
      <c r="N640">
        <v>1524240</v>
      </c>
      <c r="O640">
        <v>49145</v>
      </c>
      <c r="P640">
        <v>1475095</v>
      </c>
      <c r="Q640" s="1" t="s">
        <v>55</v>
      </c>
      <c r="R640" s="1" t="s">
        <v>109</v>
      </c>
      <c r="S640" s="1" t="s">
        <v>37</v>
      </c>
      <c r="T640" s="1" t="s">
        <v>36</v>
      </c>
      <c r="U640">
        <v>3.2</v>
      </c>
      <c r="V640" t="s">
        <v>38</v>
      </c>
      <c r="W640">
        <v>2</v>
      </c>
      <c r="X640" s="1" t="s">
        <v>107</v>
      </c>
    </row>
    <row r="641" spans="1:24" x14ac:dyDescent="0.55000000000000004">
      <c r="A641" s="1" t="s">
        <v>725</v>
      </c>
      <c r="B641" s="1" t="s">
        <v>25</v>
      </c>
      <c r="C641">
        <v>24</v>
      </c>
      <c r="D641" s="1" t="s">
        <v>42</v>
      </c>
      <c r="E641" s="1" t="s">
        <v>27</v>
      </c>
      <c r="F641" s="1" t="s">
        <v>28</v>
      </c>
      <c r="G641" s="1" t="s">
        <v>29</v>
      </c>
      <c r="H641" s="1" t="s">
        <v>65</v>
      </c>
      <c r="I641" s="1" t="s">
        <v>31</v>
      </c>
      <c r="J641" s="1" t="s">
        <v>32</v>
      </c>
      <c r="K641" s="1" t="s">
        <v>33</v>
      </c>
      <c r="L641" s="2">
        <v>45942</v>
      </c>
      <c r="M641" s="2">
        <v>45949</v>
      </c>
      <c r="N641">
        <v>1818918</v>
      </c>
      <c r="O641">
        <v>30119</v>
      </c>
      <c r="P641">
        <v>1788799</v>
      </c>
      <c r="Q641" s="1" t="s">
        <v>34</v>
      </c>
      <c r="R641" s="1" t="s">
        <v>35</v>
      </c>
      <c r="S641" s="1" t="s">
        <v>36</v>
      </c>
      <c r="T641" s="1" t="s">
        <v>37</v>
      </c>
      <c r="U641">
        <v>4.9000000000000004</v>
      </c>
      <c r="V641" t="s">
        <v>91</v>
      </c>
      <c r="W641">
        <v>10</v>
      </c>
      <c r="X641" s="1" t="s">
        <v>75</v>
      </c>
    </row>
    <row r="642" spans="1:24" x14ac:dyDescent="0.55000000000000004">
      <c r="A642" s="1" t="s">
        <v>726</v>
      </c>
      <c r="B642" s="1" t="s">
        <v>51</v>
      </c>
      <c r="C642">
        <v>57</v>
      </c>
      <c r="D642" s="1" t="s">
        <v>42</v>
      </c>
      <c r="E642" s="1" t="s">
        <v>90</v>
      </c>
      <c r="F642" s="1" t="s">
        <v>44</v>
      </c>
      <c r="G642" s="1" t="s">
        <v>29</v>
      </c>
      <c r="H642" s="1" t="s">
        <v>30</v>
      </c>
      <c r="I642" s="1" t="s">
        <v>59</v>
      </c>
      <c r="J642" s="1" t="s">
        <v>54</v>
      </c>
      <c r="K642" s="1" t="s">
        <v>46</v>
      </c>
      <c r="L642" s="2">
        <v>45881</v>
      </c>
      <c r="M642" s="2">
        <v>45896</v>
      </c>
      <c r="N642">
        <v>1515910</v>
      </c>
      <c r="O642">
        <v>72874</v>
      </c>
      <c r="P642">
        <v>1443036</v>
      </c>
      <c r="Q642" s="1" t="s">
        <v>34</v>
      </c>
      <c r="R642" s="1" t="s">
        <v>79</v>
      </c>
      <c r="S642" s="1" t="s">
        <v>36</v>
      </c>
      <c r="T642" s="1" t="s">
        <v>36</v>
      </c>
      <c r="U642">
        <v>3.8</v>
      </c>
      <c r="V642" t="s">
        <v>56</v>
      </c>
      <c r="W642">
        <v>8</v>
      </c>
      <c r="X642" s="1" t="s">
        <v>57</v>
      </c>
    </row>
    <row r="643" spans="1:24" x14ac:dyDescent="0.55000000000000004">
      <c r="A643" s="1" t="s">
        <v>727</v>
      </c>
      <c r="B643" s="1" t="s">
        <v>81</v>
      </c>
      <c r="C643">
        <v>33</v>
      </c>
      <c r="D643" s="1" t="s">
        <v>26</v>
      </c>
      <c r="E643" s="1" t="s">
        <v>27</v>
      </c>
      <c r="F643" s="1" t="s">
        <v>28</v>
      </c>
      <c r="G643" s="1" t="s">
        <v>29</v>
      </c>
      <c r="H643" s="1" t="s">
        <v>65</v>
      </c>
      <c r="I643" s="1" t="s">
        <v>53</v>
      </c>
      <c r="J643" s="1" t="s">
        <v>32</v>
      </c>
      <c r="K643" s="1" t="s">
        <v>46</v>
      </c>
      <c r="L643" s="2">
        <v>45664</v>
      </c>
      <c r="M643" s="2">
        <v>45703</v>
      </c>
      <c r="N643">
        <v>1860290</v>
      </c>
      <c r="O643">
        <v>11256</v>
      </c>
      <c r="P643">
        <v>1849034</v>
      </c>
      <c r="Q643" s="1" t="s">
        <v>47</v>
      </c>
      <c r="R643" s="1" t="s">
        <v>35</v>
      </c>
      <c r="S643" s="1" t="s">
        <v>36</v>
      </c>
      <c r="T643" s="1" t="s">
        <v>37</v>
      </c>
      <c r="U643">
        <v>4.0999999999999996</v>
      </c>
      <c r="V643" t="s">
        <v>38</v>
      </c>
      <c r="W643">
        <v>2</v>
      </c>
      <c r="X643" s="1" t="s">
        <v>107</v>
      </c>
    </row>
    <row r="644" spans="1:24" x14ac:dyDescent="0.55000000000000004">
      <c r="A644" s="1" t="s">
        <v>728</v>
      </c>
      <c r="B644" s="1" t="s">
        <v>25</v>
      </c>
      <c r="C644">
        <v>55</v>
      </c>
      <c r="D644" s="1" t="s">
        <v>42</v>
      </c>
      <c r="E644" s="1" t="s">
        <v>52</v>
      </c>
      <c r="F644" s="1" t="s">
        <v>44</v>
      </c>
      <c r="G644" s="1" t="s">
        <v>29</v>
      </c>
      <c r="H644" s="1" t="s">
        <v>77</v>
      </c>
      <c r="I644" s="1" t="s">
        <v>45</v>
      </c>
      <c r="J644" s="1" t="s">
        <v>32</v>
      </c>
      <c r="K644" s="1" t="s">
        <v>46</v>
      </c>
      <c r="L644" s="2">
        <v>45987</v>
      </c>
      <c r="M644" s="2">
        <v>46024</v>
      </c>
      <c r="N644">
        <v>1507213</v>
      </c>
      <c r="O644">
        <v>21587</v>
      </c>
      <c r="P644">
        <v>1485626</v>
      </c>
      <c r="Q644" s="1" t="s">
        <v>55</v>
      </c>
      <c r="R644" s="1" t="s">
        <v>79</v>
      </c>
      <c r="S644" s="1" t="s">
        <v>36</v>
      </c>
      <c r="T644" s="1" t="s">
        <v>36</v>
      </c>
      <c r="U644">
        <v>3.3</v>
      </c>
      <c r="V644" t="s">
        <v>38</v>
      </c>
      <c r="W644">
        <v>1</v>
      </c>
      <c r="X644" s="1" t="s">
        <v>88</v>
      </c>
    </row>
    <row r="645" spans="1:24" x14ac:dyDescent="0.55000000000000004">
      <c r="A645" s="1" t="s">
        <v>729</v>
      </c>
      <c r="B645" s="1" t="s">
        <v>41</v>
      </c>
      <c r="C645">
        <v>44</v>
      </c>
      <c r="D645" s="1" t="s">
        <v>42</v>
      </c>
      <c r="E645" s="1" t="s">
        <v>43</v>
      </c>
      <c r="F645" s="1" t="s">
        <v>44</v>
      </c>
      <c r="G645" s="1" t="s">
        <v>29</v>
      </c>
      <c r="H645" s="1" t="s">
        <v>65</v>
      </c>
      <c r="I645" s="1" t="s">
        <v>53</v>
      </c>
      <c r="J645" s="1" t="s">
        <v>32</v>
      </c>
      <c r="K645" s="1" t="s">
        <v>46</v>
      </c>
      <c r="L645" s="2">
        <v>45897</v>
      </c>
      <c r="M645" s="2">
        <v>45933</v>
      </c>
      <c r="N645">
        <v>1334729</v>
      </c>
      <c r="O645">
        <v>97200</v>
      </c>
      <c r="P645">
        <v>1237529</v>
      </c>
      <c r="Q645" s="1" t="s">
        <v>66</v>
      </c>
      <c r="R645" s="1" t="s">
        <v>48</v>
      </c>
      <c r="S645" s="1" t="s">
        <v>36</v>
      </c>
      <c r="T645" s="1" t="s">
        <v>36</v>
      </c>
      <c r="U645">
        <v>3.6</v>
      </c>
      <c r="V645" t="s">
        <v>38</v>
      </c>
      <c r="W645">
        <v>10</v>
      </c>
      <c r="X645" s="1" t="s">
        <v>75</v>
      </c>
    </row>
    <row r="646" spans="1:24" x14ac:dyDescent="0.55000000000000004">
      <c r="A646" s="1" t="s">
        <v>730</v>
      </c>
      <c r="B646" s="1" t="s">
        <v>41</v>
      </c>
      <c r="C646">
        <v>28</v>
      </c>
      <c r="D646" s="1" t="s">
        <v>26</v>
      </c>
      <c r="E646" s="1" t="s">
        <v>27</v>
      </c>
      <c r="F646" s="1" t="s">
        <v>28</v>
      </c>
      <c r="G646" s="1" t="s">
        <v>29</v>
      </c>
      <c r="H646" s="1" t="s">
        <v>77</v>
      </c>
      <c r="I646" s="1" t="s">
        <v>45</v>
      </c>
      <c r="J646" s="1" t="s">
        <v>54</v>
      </c>
      <c r="K646" s="1" t="s">
        <v>46</v>
      </c>
      <c r="L646" s="2">
        <v>45943</v>
      </c>
      <c r="M646" s="2">
        <v>45973</v>
      </c>
      <c r="N646">
        <v>1544759</v>
      </c>
      <c r="O646">
        <v>64020</v>
      </c>
      <c r="P646">
        <v>1480739</v>
      </c>
      <c r="Q646" s="1" t="s">
        <v>34</v>
      </c>
      <c r="R646" s="1" t="s">
        <v>109</v>
      </c>
      <c r="S646" s="1" t="s">
        <v>37</v>
      </c>
      <c r="T646" s="1" t="s">
        <v>36</v>
      </c>
      <c r="U646">
        <v>4.9000000000000004</v>
      </c>
      <c r="V646" t="s">
        <v>38</v>
      </c>
      <c r="W646">
        <v>11</v>
      </c>
      <c r="X646" s="1" t="s">
        <v>60</v>
      </c>
    </row>
    <row r="647" spans="1:24" x14ac:dyDescent="0.55000000000000004">
      <c r="A647" s="1" t="s">
        <v>731</v>
      </c>
      <c r="B647" s="1" t="s">
        <v>51</v>
      </c>
      <c r="C647">
        <v>58</v>
      </c>
      <c r="D647" s="1" t="s">
        <v>42</v>
      </c>
      <c r="E647" s="1" t="s">
        <v>84</v>
      </c>
      <c r="F647" s="1" t="s">
        <v>85</v>
      </c>
      <c r="G647" s="1" t="s">
        <v>29</v>
      </c>
      <c r="H647" s="1" t="s">
        <v>77</v>
      </c>
      <c r="I647" s="1" t="s">
        <v>53</v>
      </c>
      <c r="J647" s="1" t="s">
        <v>32</v>
      </c>
      <c r="K647" s="1" t="s">
        <v>33</v>
      </c>
      <c r="L647" s="2">
        <v>45861</v>
      </c>
      <c r="M647" s="2">
        <v>45899</v>
      </c>
      <c r="N647">
        <v>1699413</v>
      </c>
      <c r="O647">
        <v>25490</v>
      </c>
      <c r="P647">
        <v>1673923</v>
      </c>
      <c r="Q647" s="1" t="s">
        <v>47</v>
      </c>
      <c r="R647" s="1" t="s">
        <v>35</v>
      </c>
      <c r="S647" s="1" t="s">
        <v>36</v>
      </c>
      <c r="T647" s="1" t="s">
        <v>36</v>
      </c>
      <c r="U647">
        <v>4.8</v>
      </c>
      <c r="V647" t="s">
        <v>38</v>
      </c>
      <c r="W647">
        <v>8</v>
      </c>
      <c r="X647" s="1" t="s">
        <v>57</v>
      </c>
    </row>
    <row r="648" spans="1:24" x14ac:dyDescent="0.55000000000000004">
      <c r="A648" s="1" t="s">
        <v>732</v>
      </c>
      <c r="B648" s="1" t="s">
        <v>93</v>
      </c>
      <c r="C648">
        <v>58</v>
      </c>
      <c r="D648" s="1" t="s">
        <v>42</v>
      </c>
      <c r="E648" s="1" t="s">
        <v>71</v>
      </c>
      <c r="F648" s="1" t="s">
        <v>72</v>
      </c>
      <c r="G648" s="1" t="s">
        <v>29</v>
      </c>
      <c r="H648" s="1" t="s">
        <v>30</v>
      </c>
      <c r="I648" s="1" t="s">
        <v>45</v>
      </c>
      <c r="J648" s="1" t="s">
        <v>32</v>
      </c>
      <c r="K648" s="1" t="s">
        <v>46</v>
      </c>
      <c r="L648" s="2">
        <v>45938</v>
      </c>
      <c r="M648" s="2">
        <v>45974</v>
      </c>
      <c r="N648">
        <v>1673174</v>
      </c>
      <c r="O648">
        <v>67216</v>
      </c>
      <c r="P648">
        <v>1605958</v>
      </c>
      <c r="Q648" s="1" t="s">
        <v>34</v>
      </c>
      <c r="R648" s="1" t="s">
        <v>79</v>
      </c>
      <c r="S648" s="1" t="s">
        <v>37</v>
      </c>
      <c r="T648" s="1" t="s">
        <v>36</v>
      </c>
      <c r="U648">
        <v>4</v>
      </c>
      <c r="V648" t="s">
        <v>38</v>
      </c>
      <c r="W648">
        <v>11</v>
      </c>
      <c r="X648" s="1" t="s">
        <v>60</v>
      </c>
    </row>
    <row r="649" spans="1:24" x14ac:dyDescent="0.55000000000000004">
      <c r="A649" s="1" t="s">
        <v>733</v>
      </c>
      <c r="B649" s="1" t="s">
        <v>51</v>
      </c>
      <c r="C649">
        <v>57</v>
      </c>
      <c r="D649" s="1" t="s">
        <v>42</v>
      </c>
      <c r="E649" s="1" t="s">
        <v>43</v>
      </c>
      <c r="F649" s="1" t="s">
        <v>44</v>
      </c>
      <c r="G649" s="1" t="s">
        <v>29</v>
      </c>
      <c r="H649" s="1" t="s">
        <v>30</v>
      </c>
      <c r="I649" s="1" t="s">
        <v>53</v>
      </c>
      <c r="J649" s="1" t="s">
        <v>54</v>
      </c>
      <c r="K649" s="1" t="s">
        <v>46</v>
      </c>
      <c r="L649" s="2">
        <v>45844</v>
      </c>
      <c r="M649" s="2">
        <v>45860</v>
      </c>
      <c r="N649">
        <v>1727488</v>
      </c>
      <c r="O649">
        <v>13112</v>
      </c>
      <c r="P649">
        <v>1714376</v>
      </c>
      <c r="Q649" s="1" t="s">
        <v>66</v>
      </c>
      <c r="R649" s="1" t="s">
        <v>35</v>
      </c>
      <c r="S649" s="1" t="s">
        <v>37</v>
      </c>
      <c r="T649" s="1" t="s">
        <v>36</v>
      </c>
      <c r="U649">
        <v>3.5</v>
      </c>
      <c r="V649" t="s">
        <v>56</v>
      </c>
      <c r="W649">
        <v>7</v>
      </c>
      <c r="X649" s="1" t="s">
        <v>39</v>
      </c>
    </row>
    <row r="650" spans="1:24" x14ac:dyDescent="0.55000000000000004">
      <c r="A650" s="1" t="s">
        <v>734</v>
      </c>
      <c r="B650" s="1" t="s">
        <v>81</v>
      </c>
      <c r="C650">
        <v>47</v>
      </c>
      <c r="D650" s="1" t="s">
        <v>26</v>
      </c>
      <c r="E650" s="1" t="s">
        <v>84</v>
      </c>
      <c r="F650" s="1" t="s">
        <v>85</v>
      </c>
      <c r="G650" s="1" t="s">
        <v>29</v>
      </c>
      <c r="H650" s="1" t="s">
        <v>65</v>
      </c>
      <c r="I650" s="1" t="s">
        <v>45</v>
      </c>
      <c r="J650" s="1" t="s">
        <v>54</v>
      </c>
      <c r="K650" s="1" t="s">
        <v>46</v>
      </c>
      <c r="L650" s="2">
        <v>45905</v>
      </c>
      <c r="M650" s="2">
        <v>45944</v>
      </c>
      <c r="N650">
        <v>1867434</v>
      </c>
      <c r="O650">
        <v>70343</v>
      </c>
      <c r="P650">
        <v>1797091</v>
      </c>
      <c r="Q650" s="1" t="s">
        <v>55</v>
      </c>
      <c r="R650" s="1" t="s">
        <v>67</v>
      </c>
      <c r="S650" s="1" t="s">
        <v>37</v>
      </c>
      <c r="T650" s="1" t="s">
        <v>36</v>
      </c>
      <c r="U650">
        <v>4.2</v>
      </c>
      <c r="V650" t="s">
        <v>38</v>
      </c>
      <c r="W650">
        <v>10</v>
      </c>
      <c r="X650" s="1" t="s">
        <v>75</v>
      </c>
    </row>
    <row r="651" spans="1:24" x14ac:dyDescent="0.55000000000000004">
      <c r="A651" s="1" t="s">
        <v>735</v>
      </c>
      <c r="B651" s="1" t="s">
        <v>83</v>
      </c>
      <c r="C651">
        <v>52</v>
      </c>
      <c r="D651" s="1" t="s">
        <v>42</v>
      </c>
      <c r="E651" s="1" t="s">
        <v>27</v>
      </c>
      <c r="F651" s="1" t="s">
        <v>28</v>
      </c>
      <c r="G651" s="1" t="s">
        <v>29</v>
      </c>
      <c r="H651" s="1" t="s">
        <v>30</v>
      </c>
      <c r="I651" s="1" t="s">
        <v>53</v>
      </c>
      <c r="J651" s="1" t="s">
        <v>32</v>
      </c>
      <c r="K651" s="1" t="s">
        <v>33</v>
      </c>
      <c r="L651" s="2">
        <v>46144</v>
      </c>
      <c r="M651" s="2">
        <v>46168</v>
      </c>
      <c r="N651">
        <v>1818560</v>
      </c>
      <c r="O651">
        <v>65285</v>
      </c>
      <c r="P651">
        <v>1753275</v>
      </c>
      <c r="Q651" s="1" t="s">
        <v>78</v>
      </c>
      <c r="R651" s="1" t="s">
        <v>35</v>
      </c>
      <c r="S651" s="1" t="s">
        <v>36</v>
      </c>
      <c r="T651" s="1" t="s">
        <v>37</v>
      </c>
      <c r="U651">
        <v>4.5</v>
      </c>
      <c r="V651" t="s">
        <v>38</v>
      </c>
      <c r="W651">
        <v>5</v>
      </c>
      <c r="X651" s="1" t="s">
        <v>86</v>
      </c>
    </row>
    <row r="652" spans="1:24" x14ac:dyDescent="0.55000000000000004">
      <c r="A652" s="1" t="s">
        <v>736</v>
      </c>
      <c r="B652" s="1" t="s">
        <v>105</v>
      </c>
      <c r="C652">
        <v>26</v>
      </c>
      <c r="D652" s="1" t="s">
        <v>26</v>
      </c>
      <c r="E652" s="1" t="s">
        <v>90</v>
      </c>
      <c r="F652" s="1" t="s">
        <v>44</v>
      </c>
      <c r="G652" s="1" t="s">
        <v>29</v>
      </c>
      <c r="H652" s="1" t="s">
        <v>30</v>
      </c>
      <c r="I652" s="1" t="s">
        <v>45</v>
      </c>
      <c r="J652" s="1" t="s">
        <v>32</v>
      </c>
      <c r="K652" s="1" t="s">
        <v>33</v>
      </c>
      <c r="L652" s="2">
        <v>45833</v>
      </c>
      <c r="M652" s="2">
        <v>45843</v>
      </c>
      <c r="N652">
        <v>1498657</v>
      </c>
      <c r="O652">
        <v>83564</v>
      </c>
      <c r="P652">
        <v>1415093</v>
      </c>
      <c r="Q652" s="1" t="s">
        <v>66</v>
      </c>
      <c r="R652" s="1" t="s">
        <v>109</v>
      </c>
      <c r="S652" s="1" t="s">
        <v>36</v>
      </c>
      <c r="T652" s="1" t="s">
        <v>37</v>
      </c>
      <c r="U652">
        <v>3.4</v>
      </c>
      <c r="V652" t="s">
        <v>91</v>
      </c>
      <c r="W652">
        <v>7</v>
      </c>
      <c r="X652" s="1" t="s">
        <v>39</v>
      </c>
    </row>
    <row r="653" spans="1:24" x14ac:dyDescent="0.55000000000000004">
      <c r="A653" s="1" t="s">
        <v>737</v>
      </c>
      <c r="B653" s="1" t="s">
        <v>83</v>
      </c>
      <c r="C653">
        <v>60</v>
      </c>
      <c r="D653" s="1" t="s">
        <v>26</v>
      </c>
      <c r="E653" s="1" t="s">
        <v>52</v>
      </c>
      <c r="F653" s="1" t="s">
        <v>44</v>
      </c>
      <c r="G653" s="1" t="s">
        <v>29</v>
      </c>
      <c r="H653" s="1" t="s">
        <v>77</v>
      </c>
      <c r="I653" s="1" t="s">
        <v>53</v>
      </c>
      <c r="J653" s="1" t="s">
        <v>32</v>
      </c>
      <c r="K653" s="1" t="s">
        <v>33</v>
      </c>
      <c r="L653" s="2">
        <v>45742</v>
      </c>
      <c r="M653" s="2">
        <v>45787</v>
      </c>
      <c r="N653">
        <v>1726669</v>
      </c>
      <c r="O653">
        <v>10689</v>
      </c>
      <c r="P653">
        <v>1715980</v>
      </c>
      <c r="Q653" s="1" t="s">
        <v>47</v>
      </c>
      <c r="R653" s="1" t="s">
        <v>79</v>
      </c>
      <c r="S653" s="1" t="s">
        <v>37</v>
      </c>
      <c r="T653" s="1" t="s">
        <v>37</v>
      </c>
      <c r="U653">
        <v>4.0999999999999996</v>
      </c>
      <c r="V653" t="s">
        <v>38</v>
      </c>
      <c r="W653">
        <v>5</v>
      </c>
      <c r="X653" s="1" t="s">
        <v>86</v>
      </c>
    </row>
    <row r="654" spans="1:24" x14ac:dyDescent="0.55000000000000004">
      <c r="A654" s="1" t="s">
        <v>738</v>
      </c>
      <c r="B654" s="1" t="s">
        <v>25</v>
      </c>
      <c r="C654">
        <v>29</v>
      </c>
      <c r="D654" s="1" t="s">
        <v>26</v>
      </c>
      <c r="E654" s="1" t="s">
        <v>90</v>
      </c>
      <c r="F654" s="1" t="s">
        <v>44</v>
      </c>
      <c r="G654" s="1" t="s">
        <v>29</v>
      </c>
      <c r="H654" s="1" t="s">
        <v>65</v>
      </c>
      <c r="I654" s="1" t="s">
        <v>31</v>
      </c>
      <c r="J654" s="1" t="s">
        <v>54</v>
      </c>
      <c r="K654" s="1" t="s">
        <v>46</v>
      </c>
      <c r="L654" s="2">
        <v>46151</v>
      </c>
      <c r="M654" s="2">
        <v>46174</v>
      </c>
      <c r="N654">
        <v>1577227</v>
      </c>
      <c r="O654">
        <v>95628</v>
      </c>
      <c r="P654">
        <v>1481599</v>
      </c>
      <c r="Q654" s="1" t="s">
        <v>55</v>
      </c>
      <c r="R654" s="1" t="s">
        <v>67</v>
      </c>
      <c r="S654" s="1" t="s">
        <v>37</v>
      </c>
      <c r="T654" s="1" t="s">
        <v>37</v>
      </c>
      <c r="U654">
        <v>4.5999999999999996</v>
      </c>
      <c r="V654" t="s">
        <v>38</v>
      </c>
      <c r="W654">
        <v>6</v>
      </c>
      <c r="X654" s="1" t="s">
        <v>68</v>
      </c>
    </row>
    <row r="655" spans="1:24" x14ac:dyDescent="0.55000000000000004">
      <c r="A655" s="1" t="s">
        <v>739</v>
      </c>
      <c r="B655" s="1" t="s">
        <v>41</v>
      </c>
      <c r="C655">
        <v>46</v>
      </c>
      <c r="D655" s="1" t="s">
        <v>42</v>
      </c>
      <c r="E655" s="1" t="s">
        <v>84</v>
      </c>
      <c r="F655" s="1" t="s">
        <v>85</v>
      </c>
      <c r="G655" s="1" t="s">
        <v>29</v>
      </c>
      <c r="H655" s="1" t="s">
        <v>30</v>
      </c>
      <c r="I655" s="1" t="s">
        <v>31</v>
      </c>
      <c r="J655" s="1" t="s">
        <v>54</v>
      </c>
      <c r="K655" s="1" t="s">
        <v>46</v>
      </c>
      <c r="L655" s="2">
        <v>46082</v>
      </c>
      <c r="M655" s="2">
        <v>46115</v>
      </c>
      <c r="N655">
        <v>1404774</v>
      </c>
      <c r="O655">
        <v>31814</v>
      </c>
      <c r="P655">
        <v>1372960</v>
      </c>
      <c r="Q655" s="1" t="s">
        <v>47</v>
      </c>
      <c r="R655" s="1" t="s">
        <v>48</v>
      </c>
      <c r="S655" s="1" t="s">
        <v>37</v>
      </c>
      <c r="T655" s="1" t="s">
        <v>37</v>
      </c>
      <c r="U655">
        <v>3.5</v>
      </c>
      <c r="V655" t="s">
        <v>38</v>
      </c>
      <c r="W655">
        <v>4</v>
      </c>
      <c r="X655" s="1" t="s">
        <v>63</v>
      </c>
    </row>
    <row r="656" spans="1:24" x14ac:dyDescent="0.55000000000000004">
      <c r="A656" s="1" t="s">
        <v>740</v>
      </c>
      <c r="B656" s="1" t="s">
        <v>62</v>
      </c>
      <c r="C656">
        <v>33</v>
      </c>
      <c r="D656" s="1" t="s">
        <v>42</v>
      </c>
      <c r="E656" s="1" t="s">
        <v>84</v>
      </c>
      <c r="F656" s="1" t="s">
        <v>85</v>
      </c>
      <c r="G656" s="1" t="s">
        <v>29</v>
      </c>
      <c r="H656" s="1" t="s">
        <v>77</v>
      </c>
      <c r="I656" s="1" t="s">
        <v>59</v>
      </c>
      <c r="J656" s="1" t="s">
        <v>54</v>
      </c>
      <c r="K656" s="1" t="s">
        <v>46</v>
      </c>
      <c r="L656" s="2">
        <v>46183</v>
      </c>
      <c r="M656" s="2">
        <v>46197</v>
      </c>
      <c r="N656">
        <v>1454762</v>
      </c>
      <c r="O656">
        <v>91173</v>
      </c>
      <c r="P656">
        <v>1363589</v>
      </c>
      <c r="Q656" s="1" t="s">
        <v>47</v>
      </c>
      <c r="R656" s="1" t="s">
        <v>79</v>
      </c>
      <c r="S656" s="1" t="s">
        <v>37</v>
      </c>
      <c r="T656" s="1" t="s">
        <v>36</v>
      </c>
      <c r="U656">
        <v>4.5999999999999996</v>
      </c>
      <c r="V656" t="s">
        <v>56</v>
      </c>
      <c r="W656">
        <v>6</v>
      </c>
      <c r="X656" s="1" t="s">
        <v>68</v>
      </c>
    </row>
    <row r="657" spans="1:24" x14ac:dyDescent="0.55000000000000004">
      <c r="A657" s="1" t="s">
        <v>741</v>
      </c>
      <c r="B657" s="1" t="s">
        <v>41</v>
      </c>
      <c r="C657">
        <v>56</v>
      </c>
      <c r="D657" s="1" t="s">
        <v>26</v>
      </c>
      <c r="E657" s="1" t="s">
        <v>84</v>
      </c>
      <c r="F657" s="1" t="s">
        <v>85</v>
      </c>
      <c r="G657" s="1" t="s">
        <v>29</v>
      </c>
      <c r="H657" s="1" t="s">
        <v>77</v>
      </c>
      <c r="I657" s="1" t="s">
        <v>59</v>
      </c>
      <c r="J657" s="1" t="s">
        <v>32</v>
      </c>
      <c r="K657" s="1" t="s">
        <v>33</v>
      </c>
      <c r="L657" s="2">
        <v>45732</v>
      </c>
      <c r="M657" s="2">
        <v>45742</v>
      </c>
      <c r="N657">
        <v>1396299</v>
      </c>
      <c r="O657">
        <v>88898</v>
      </c>
      <c r="P657">
        <v>1307401</v>
      </c>
      <c r="Q657" s="1" t="s">
        <v>78</v>
      </c>
      <c r="R657" s="1" t="s">
        <v>79</v>
      </c>
      <c r="S657" s="1" t="s">
        <v>37</v>
      </c>
      <c r="T657" s="1" t="s">
        <v>36</v>
      </c>
      <c r="U657">
        <v>3.5</v>
      </c>
      <c r="V657" t="s">
        <v>91</v>
      </c>
      <c r="W657">
        <v>3</v>
      </c>
      <c r="X657" s="1" t="s">
        <v>96</v>
      </c>
    </row>
    <row r="658" spans="1:24" x14ac:dyDescent="0.55000000000000004">
      <c r="A658" s="1" t="s">
        <v>742</v>
      </c>
      <c r="B658" s="1" t="s">
        <v>62</v>
      </c>
      <c r="C658">
        <v>39</v>
      </c>
      <c r="D658" s="1" t="s">
        <v>42</v>
      </c>
      <c r="E658" s="1" t="s">
        <v>27</v>
      </c>
      <c r="F658" s="1" t="s">
        <v>28</v>
      </c>
      <c r="G658" s="1" t="s">
        <v>29</v>
      </c>
      <c r="H658" s="1" t="s">
        <v>65</v>
      </c>
      <c r="I658" s="1" t="s">
        <v>31</v>
      </c>
      <c r="J658" s="1" t="s">
        <v>54</v>
      </c>
      <c r="K658" s="1" t="s">
        <v>33</v>
      </c>
      <c r="L658" s="2">
        <v>46058</v>
      </c>
      <c r="M658" s="2">
        <v>46092</v>
      </c>
      <c r="N658">
        <v>1594883</v>
      </c>
      <c r="O658">
        <v>72332</v>
      </c>
      <c r="P658">
        <v>1522551</v>
      </c>
      <c r="Q658" s="1" t="s">
        <v>34</v>
      </c>
      <c r="R658" s="1" t="s">
        <v>109</v>
      </c>
      <c r="S658" s="1" t="s">
        <v>37</v>
      </c>
      <c r="T658" s="1" t="s">
        <v>36</v>
      </c>
      <c r="U658">
        <v>4.3</v>
      </c>
      <c r="V658" t="s">
        <v>38</v>
      </c>
      <c r="W658">
        <v>3</v>
      </c>
      <c r="X658" s="1" t="s">
        <v>96</v>
      </c>
    </row>
    <row r="659" spans="1:24" x14ac:dyDescent="0.55000000000000004">
      <c r="A659" s="1" t="s">
        <v>743</v>
      </c>
      <c r="B659" s="1" t="s">
        <v>93</v>
      </c>
      <c r="C659">
        <v>35</v>
      </c>
      <c r="D659" s="1" t="s">
        <v>26</v>
      </c>
      <c r="E659" s="1" t="s">
        <v>43</v>
      </c>
      <c r="F659" s="1" t="s">
        <v>44</v>
      </c>
      <c r="G659" s="1" t="s">
        <v>29</v>
      </c>
      <c r="H659" s="1" t="s">
        <v>30</v>
      </c>
      <c r="I659" s="1" t="s">
        <v>59</v>
      </c>
      <c r="J659" s="1" t="s">
        <v>54</v>
      </c>
      <c r="K659" s="1" t="s">
        <v>33</v>
      </c>
      <c r="L659" s="2">
        <v>46042</v>
      </c>
      <c r="M659" s="2">
        <v>46067</v>
      </c>
      <c r="N659">
        <v>1416769</v>
      </c>
      <c r="O659">
        <v>75541</v>
      </c>
      <c r="P659">
        <v>1341228</v>
      </c>
      <c r="Q659" s="1" t="s">
        <v>55</v>
      </c>
      <c r="R659" s="1" t="s">
        <v>79</v>
      </c>
      <c r="S659" s="1" t="s">
        <v>36</v>
      </c>
      <c r="T659" s="1" t="s">
        <v>37</v>
      </c>
      <c r="U659">
        <v>3.9</v>
      </c>
      <c r="V659" t="s">
        <v>38</v>
      </c>
      <c r="W659">
        <v>2</v>
      </c>
      <c r="X659" s="1" t="s">
        <v>107</v>
      </c>
    </row>
    <row r="660" spans="1:24" x14ac:dyDescent="0.55000000000000004">
      <c r="A660" s="1" t="s">
        <v>744</v>
      </c>
      <c r="B660" s="1" t="s">
        <v>105</v>
      </c>
      <c r="C660">
        <v>21</v>
      </c>
      <c r="D660" s="1" t="s">
        <v>26</v>
      </c>
      <c r="E660" s="1" t="s">
        <v>52</v>
      </c>
      <c r="F660" s="1" t="s">
        <v>44</v>
      </c>
      <c r="G660" s="1" t="s">
        <v>29</v>
      </c>
      <c r="H660" s="1" t="s">
        <v>30</v>
      </c>
      <c r="I660" s="1" t="s">
        <v>45</v>
      </c>
      <c r="J660" s="1" t="s">
        <v>32</v>
      </c>
      <c r="K660" s="1" t="s">
        <v>46</v>
      </c>
      <c r="L660" s="2">
        <v>45986</v>
      </c>
      <c r="M660" s="2">
        <v>46026</v>
      </c>
      <c r="N660">
        <v>1843639</v>
      </c>
      <c r="O660">
        <v>70991</v>
      </c>
      <c r="P660">
        <v>1772648</v>
      </c>
      <c r="Q660" s="1" t="s">
        <v>78</v>
      </c>
      <c r="R660" s="1" t="s">
        <v>35</v>
      </c>
      <c r="S660" s="1" t="s">
        <v>36</v>
      </c>
      <c r="T660" s="1" t="s">
        <v>37</v>
      </c>
      <c r="U660">
        <v>4.5</v>
      </c>
      <c r="V660" t="s">
        <v>38</v>
      </c>
      <c r="W660">
        <v>1</v>
      </c>
      <c r="X660" s="1" t="s">
        <v>88</v>
      </c>
    </row>
    <row r="661" spans="1:24" x14ac:dyDescent="0.55000000000000004">
      <c r="A661" s="1" t="s">
        <v>745</v>
      </c>
      <c r="B661" s="1" t="s">
        <v>41</v>
      </c>
      <c r="C661">
        <v>48</v>
      </c>
      <c r="D661" s="1" t="s">
        <v>26</v>
      </c>
      <c r="E661" s="1" t="s">
        <v>84</v>
      </c>
      <c r="F661" s="1" t="s">
        <v>85</v>
      </c>
      <c r="G661" s="1" t="s">
        <v>29</v>
      </c>
      <c r="H661" s="1" t="s">
        <v>65</v>
      </c>
      <c r="I661" s="1" t="s">
        <v>45</v>
      </c>
      <c r="J661" s="1" t="s">
        <v>54</v>
      </c>
      <c r="K661" s="1" t="s">
        <v>33</v>
      </c>
      <c r="L661" s="2">
        <v>45777</v>
      </c>
      <c r="M661" s="2">
        <v>45791</v>
      </c>
      <c r="N661">
        <v>1626139</v>
      </c>
      <c r="O661">
        <v>53068</v>
      </c>
      <c r="P661">
        <v>1573071</v>
      </c>
      <c r="Q661" s="1" t="s">
        <v>47</v>
      </c>
      <c r="R661" s="1" t="s">
        <v>48</v>
      </c>
      <c r="S661" s="1" t="s">
        <v>37</v>
      </c>
      <c r="T661" s="1" t="s">
        <v>37</v>
      </c>
      <c r="U661">
        <v>4.7</v>
      </c>
      <c r="V661" t="s">
        <v>56</v>
      </c>
      <c r="W661">
        <v>5</v>
      </c>
      <c r="X661" s="1" t="s">
        <v>86</v>
      </c>
    </row>
    <row r="662" spans="1:24" x14ac:dyDescent="0.55000000000000004">
      <c r="A662" s="1" t="s">
        <v>746</v>
      </c>
      <c r="B662" s="1" t="s">
        <v>81</v>
      </c>
      <c r="C662">
        <v>40</v>
      </c>
      <c r="D662" s="1" t="s">
        <v>26</v>
      </c>
      <c r="E662" s="1" t="s">
        <v>84</v>
      </c>
      <c r="F662" s="1" t="s">
        <v>85</v>
      </c>
      <c r="G662" s="1" t="s">
        <v>29</v>
      </c>
      <c r="H662" s="1" t="s">
        <v>30</v>
      </c>
      <c r="I662" s="1" t="s">
        <v>31</v>
      </c>
      <c r="J662" s="1" t="s">
        <v>54</v>
      </c>
      <c r="K662" s="1" t="s">
        <v>46</v>
      </c>
      <c r="L662" s="2">
        <v>45801</v>
      </c>
      <c r="M662" s="2">
        <v>45842</v>
      </c>
      <c r="N662">
        <v>1402016</v>
      </c>
      <c r="O662">
        <v>74860</v>
      </c>
      <c r="P662">
        <v>1327156</v>
      </c>
      <c r="Q662" s="1" t="s">
        <v>34</v>
      </c>
      <c r="R662" s="1" t="s">
        <v>79</v>
      </c>
      <c r="S662" s="1" t="s">
        <v>36</v>
      </c>
      <c r="T662" s="1" t="s">
        <v>37</v>
      </c>
      <c r="U662">
        <v>4.5999999999999996</v>
      </c>
      <c r="V662" t="s">
        <v>38</v>
      </c>
      <c r="W662">
        <v>7</v>
      </c>
      <c r="X662" s="1" t="s">
        <v>39</v>
      </c>
    </row>
    <row r="663" spans="1:24" x14ac:dyDescent="0.55000000000000004">
      <c r="A663" s="1" t="s">
        <v>747</v>
      </c>
      <c r="B663" s="1" t="s">
        <v>105</v>
      </c>
      <c r="C663">
        <v>43</v>
      </c>
      <c r="D663" s="1" t="s">
        <v>26</v>
      </c>
      <c r="E663" s="1" t="s">
        <v>84</v>
      </c>
      <c r="F663" s="1" t="s">
        <v>85</v>
      </c>
      <c r="G663" s="1" t="s">
        <v>29</v>
      </c>
      <c r="H663" s="1" t="s">
        <v>30</v>
      </c>
      <c r="I663" s="1" t="s">
        <v>74</v>
      </c>
      <c r="J663" s="1" t="s">
        <v>32</v>
      </c>
      <c r="K663" s="1" t="s">
        <v>46</v>
      </c>
      <c r="L663" s="2">
        <v>45884</v>
      </c>
      <c r="M663" s="2">
        <v>45898</v>
      </c>
      <c r="N663">
        <v>1721550</v>
      </c>
      <c r="O663">
        <v>87280</v>
      </c>
      <c r="P663">
        <v>1634270</v>
      </c>
      <c r="Q663" s="1" t="s">
        <v>66</v>
      </c>
      <c r="R663" s="1" t="s">
        <v>35</v>
      </c>
      <c r="S663" s="1" t="s">
        <v>37</v>
      </c>
      <c r="T663" s="1" t="s">
        <v>36</v>
      </c>
      <c r="U663">
        <v>3.6</v>
      </c>
      <c r="V663" t="s">
        <v>56</v>
      </c>
      <c r="W663">
        <v>8</v>
      </c>
      <c r="X663" s="1" t="s">
        <v>57</v>
      </c>
    </row>
    <row r="664" spans="1:24" x14ac:dyDescent="0.55000000000000004">
      <c r="A664" s="1" t="s">
        <v>748</v>
      </c>
      <c r="B664" s="1" t="s">
        <v>70</v>
      </c>
      <c r="C664">
        <v>51</v>
      </c>
      <c r="D664" s="1" t="s">
        <v>42</v>
      </c>
      <c r="E664" s="1" t="s">
        <v>52</v>
      </c>
      <c r="F664" s="1" t="s">
        <v>44</v>
      </c>
      <c r="G664" s="1" t="s">
        <v>29</v>
      </c>
      <c r="H664" s="1" t="s">
        <v>65</v>
      </c>
      <c r="I664" s="1" t="s">
        <v>53</v>
      </c>
      <c r="J664" s="1" t="s">
        <v>54</v>
      </c>
      <c r="K664" s="1" t="s">
        <v>46</v>
      </c>
      <c r="L664" s="2">
        <v>45703</v>
      </c>
      <c r="M664" s="2">
        <v>45727</v>
      </c>
      <c r="N664">
        <v>1656004</v>
      </c>
      <c r="O664">
        <v>44292</v>
      </c>
      <c r="P664">
        <v>1611712</v>
      </c>
      <c r="Q664" s="1" t="s">
        <v>66</v>
      </c>
      <c r="R664" s="1" t="s">
        <v>109</v>
      </c>
      <c r="S664" s="1" t="s">
        <v>37</v>
      </c>
      <c r="T664" s="1" t="s">
        <v>37</v>
      </c>
      <c r="U664">
        <v>3.9</v>
      </c>
      <c r="V664" t="s">
        <v>38</v>
      </c>
      <c r="W664">
        <v>3</v>
      </c>
      <c r="X664" s="1" t="s">
        <v>96</v>
      </c>
    </row>
    <row r="665" spans="1:24" x14ac:dyDescent="0.55000000000000004">
      <c r="A665" s="1" t="s">
        <v>749</v>
      </c>
      <c r="B665" s="1" t="s">
        <v>98</v>
      </c>
      <c r="C665">
        <v>26</v>
      </c>
      <c r="D665" s="1" t="s">
        <v>42</v>
      </c>
      <c r="E665" s="1" t="s">
        <v>90</v>
      </c>
      <c r="F665" s="1" t="s">
        <v>44</v>
      </c>
      <c r="G665" s="1" t="s">
        <v>29</v>
      </c>
      <c r="H665" s="1" t="s">
        <v>65</v>
      </c>
      <c r="I665" s="1" t="s">
        <v>53</v>
      </c>
      <c r="J665" s="1" t="s">
        <v>54</v>
      </c>
      <c r="K665" s="1" t="s">
        <v>33</v>
      </c>
      <c r="L665" s="2">
        <v>45711</v>
      </c>
      <c r="M665" s="2">
        <v>45725</v>
      </c>
      <c r="N665">
        <v>1337078</v>
      </c>
      <c r="O665">
        <v>45175</v>
      </c>
      <c r="P665">
        <v>1291903</v>
      </c>
      <c r="Q665" s="1" t="s">
        <v>34</v>
      </c>
      <c r="R665" s="1" t="s">
        <v>109</v>
      </c>
      <c r="S665" s="1" t="s">
        <v>37</v>
      </c>
      <c r="T665" s="1" t="s">
        <v>36</v>
      </c>
      <c r="U665">
        <v>4.2</v>
      </c>
      <c r="V665" t="s">
        <v>56</v>
      </c>
      <c r="W665">
        <v>3</v>
      </c>
      <c r="X665" s="1" t="s">
        <v>96</v>
      </c>
    </row>
    <row r="666" spans="1:24" x14ac:dyDescent="0.55000000000000004">
      <c r="A666" s="1" t="s">
        <v>750</v>
      </c>
      <c r="B666" s="1" t="s">
        <v>83</v>
      </c>
      <c r="C666">
        <v>32</v>
      </c>
      <c r="D666" s="1" t="s">
        <v>26</v>
      </c>
      <c r="E666" s="1" t="s">
        <v>27</v>
      </c>
      <c r="F666" s="1" t="s">
        <v>28</v>
      </c>
      <c r="G666" s="1" t="s">
        <v>29</v>
      </c>
      <c r="H666" s="1" t="s">
        <v>77</v>
      </c>
      <c r="I666" s="1" t="s">
        <v>53</v>
      </c>
      <c r="J666" s="1" t="s">
        <v>32</v>
      </c>
      <c r="K666" s="1" t="s">
        <v>46</v>
      </c>
      <c r="L666" s="2">
        <v>45794</v>
      </c>
      <c r="M666" s="2">
        <v>45823</v>
      </c>
      <c r="N666">
        <v>1403747</v>
      </c>
      <c r="O666">
        <v>66757</v>
      </c>
      <c r="P666">
        <v>1336990</v>
      </c>
      <c r="Q666" s="1" t="s">
        <v>34</v>
      </c>
      <c r="R666" s="1" t="s">
        <v>109</v>
      </c>
      <c r="S666" s="1" t="s">
        <v>36</v>
      </c>
      <c r="T666" s="1" t="s">
        <v>36</v>
      </c>
      <c r="U666">
        <v>3.7</v>
      </c>
      <c r="V666" t="s">
        <v>38</v>
      </c>
      <c r="W666">
        <v>6</v>
      </c>
      <c r="X666" s="1" t="s">
        <v>68</v>
      </c>
    </row>
    <row r="667" spans="1:24" x14ac:dyDescent="0.55000000000000004">
      <c r="A667" s="1" t="s">
        <v>751</v>
      </c>
      <c r="B667" s="1" t="s">
        <v>25</v>
      </c>
      <c r="C667">
        <v>53</v>
      </c>
      <c r="D667" s="1" t="s">
        <v>26</v>
      </c>
      <c r="E667" s="1" t="s">
        <v>71</v>
      </c>
      <c r="F667" s="1" t="s">
        <v>72</v>
      </c>
      <c r="G667" s="1" t="s">
        <v>29</v>
      </c>
      <c r="H667" s="1" t="s">
        <v>65</v>
      </c>
      <c r="I667" s="1" t="s">
        <v>59</v>
      </c>
      <c r="J667" s="1" t="s">
        <v>32</v>
      </c>
      <c r="K667" s="1" t="s">
        <v>33</v>
      </c>
      <c r="L667" s="2">
        <v>45765</v>
      </c>
      <c r="M667" s="2">
        <v>45804</v>
      </c>
      <c r="N667">
        <v>1496824</v>
      </c>
      <c r="O667">
        <v>34673</v>
      </c>
      <c r="P667">
        <v>1462151</v>
      </c>
      <c r="Q667" s="1" t="s">
        <v>78</v>
      </c>
      <c r="R667" s="1" t="s">
        <v>48</v>
      </c>
      <c r="S667" s="1" t="s">
        <v>37</v>
      </c>
      <c r="T667" s="1" t="s">
        <v>36</v>
      </c>
      <c r="U667">
        <v>4.0999999999999996</v>
      </c>
      <c r="V667" t="s">
        <v>38</v>
      </c>
      <c r="W667">
        <v>5</v>
      </c>
      <c r="X667" s="1" t="s">
        <v>86</v>
      </c>
    </row>
    <row r="668" spans="1:24" x14ac:dyDescent="0.55000000000000004">
      <c r="A668" s="1" t="s">
        <v>752</v>
      </c>
      <c r="B668" s="1" t="s">
        <v>25</v>
      </c>
      <c r="C668">
        <v>52</v>
      </c>
      <c r="D668" s="1" t="s">
        <v>42</v>
      </c>
      <c r="E668" s="1" t="s">
        <v>90</v>
      </c>
      <c r="F668" s="1" t="s">
        <v>44</v>
      </c>
      <c r="G668" s="1" t="s">
        <v>29</v>
      </c>
      <c r="H668" s="1" t="s">
        <v>65</v>
      </c>
      <c r="I668" s="1" t="s">
        <v>59</v>
      </c>
      <c r="J668" s="1" t="s">
        <v>54</v>
      </c>
      <c r="K668" s="1" t="s">
        <v>46</v>
      </c>
      <c r="L668" s="2">
        <v>45679</v>
      </c>
      <c r="M668" s="2">
        <v>45715</v>
      </c>
      <c r="N668">
        <v>1440070</v>
      </c>
      <c r="O668">
        <v>14047</v>
      </c>
      <c r="P668">
        <v>1426023</v>
      </c>
      <c r="Q668" s="1" t="s">
        <v>55</v>
      </c>
      <c r="R668" s="1" t="s">
        <v>35</v>
      </c>
      <c r="S668" s="1" t="s">
        <v>36</v>
      </c>
      <c r="T668" s="1" t="s">
        <v>36</v>
      </c>
      <c r="U668">
        <v>4</v>
      </c>
      <c r="V668" t="s">
        <v>38</v>
      </c>
      <c r="W668">
        <v>2</v>
      </c>
      <c r="X668" s="1" t="s">
        <v>107</v>
      </c>
    </row>
    <row r="669" spans="1:24" x14ac:dyDescent="0.55000000000000004">
      <c r="A669" s="1" t="s">
        <v>753</v>
      </c>
      <c r="B669" s="1" t="s">
        <v>51</v>
      </c>
      <c r="C669">
        <v>56</v>
      </c>
      <c r="D669" s="1" t="s">
        <v>26</v>
      </c>
      <c r="E669" s="1" t="s">
        <v>52</v>
      </c>
      <c r="F669" s="1" t="s">
        <v>44</v>
      </c>
      <c r="G669" s="1" t="s">
        <v>29</v>
      </c>
      <c r="H669" s="1" t="s">
        <v>30</v>
      </c>
      <c r="I669" s="1" t="s">
        <v>31</v>
      </c>
      <c r="J669" s="1" t="s">
        <v>32</v>
      </c>
      <c r="K669" s="1" t="s">
        <v>33</v>
      </c>
      <c r="L669" s="2">
        <v>45817</v>
      </c>
      <c r="M669" s="2">
        <v>45847</v>
      </c>
      <c r="N669">
        <v>1834116</v>
      </c>
      <c r="O669">
        <v>63953</v>
      </c>
      <c r="P669">
        <v>1770163</v>
      </c>
      <c r="Q669" s="1" t="s">
        <v>78</v>
      </c>
      <c r="R669" s="1" t="s">
        <v>48</v>
      </c>
      <c r="S669" s="1" t="s">
        <v>37</v>
      </c>
      <c r="T669" s="1" t="s">
        <v>37</v>
      </c>
      <c r="U669">
        <v>4.4000000000000004</v>
      </c>
      <c r="V669" t="s">
        <v>38</v>
      </c>
      <c r="W669">
        <v>7</v>
      </c>
      <c r="X669" s="1" t="s">
        <v>39</v>
      </c>
    </row>
    <row r="670" spans="1:24" x14ac:dyDescent="0.55000000000000004">
      <c r="A670" s="1" t="s">
        <v>754</v>
      </c>
      <c r="B670" s="1" t="s">
        <v>105</v>
      </c>
      <c r="C670">
        <v>35</v>
      </c>
      <c r="D670" s="1" t="s">
        <v>26</v>
      </c>
      <c r="E670" s="1" t="s">
        <v>52</v>
      </c>
      <c r="F670" s="1" t="s">
        <v>44</v>
      </c>
      <c r="G670" s="1" t="s">
        <v>29</v>
      </c>
      <c r="H670" s="1" t="s">
        <v>30</v>
      </c>
      <c r="I670" s="1" t="s">
        <v>45</v>
      </c>
      <c r="J670" s="1" t="s">
        <v>32</v>
      </c>
      <c r="K670" s="1" t="s">
        <v>33</v>
      </c>
      <c r="L670" s="2">
        <v>45792</v>
      </c>
      <c r="M670" s="2">
        <v>45799</v>
      </c>
      <c r="N670">
        <v>1326378</v>
      </c>
      <c r="O670">
        <v>47214</v>
      </c>
      <c r="P670">
        <v>1279164</v>
      </c>
      <c r="Q670" s="1" t="s">
        <v>55</v>
      </c>
      <c r="R670" s="1" t="s">
        <v>35</v>
      </c>
      <c r="S670" s="1" t="s">
        <v>36</v>
      </c>
      <c r="T670" s="1" t="s">
        <v>36</v>
      </c>
      <c r="U670">
        <v>4.2</v>
      </c>
      <c r="V670" t="s">
        <v>91</v>
      </c>
      <c r="W670">
        <v>5</v>
      </c>
      <c r="X670" s="1" t="s">
        <v>86</v>
      </c>
    </row>
    <row r="671" spans="1:24" x14ac:dyDescent="0.55000000000000004">
      <c r="A671" s="1" t="s">
        <v>755</v>
      </c>
      <c r="B671" s="1" t="s">
        <v>105</v>
      </c>
      <c r="C671">
        <v>36</v>
      </c>
      <c r="D671" s="1" t="s">
        <v>26</v>
      </c>
      <c r="E671" s="1" t="s">
        <v>52</v>
      </c>
      <c r="F671" s="1" t="s">
        <v>44</v>
      </c>
      <c r="G671" s="1" t="s">
        <v>29</v>
      </c>
      <c r="H671" s="1" t="s">
        <v>65</v>
      </c>
      <c r="I671" s="1" t="s">
        <v>53</v>
      </c>
      <c r="J671" s="1" t="s">
        <v>32</v>
      </c>
      <c r="K671" s="1" t="s">
        <v>33</v>
      </c>
      <c r="L671" s="2">
        <v>45854</v>
      </c>
      <c r="M671" s="2">
        <v>45881</v>
      </c>
      <c r="N671">
        <v>1481022</v>
      </c>
      <c r="O671">
        <v>81077</v>
      </c>
      <c r="P671">
        <v>1399945</v>
      </c>
      <c r="Q671" s="1" t="s">
        <v>55</v>
      </c>
      <c r="R671" s="1" t="s">
        <v>48</v>
      </c>
      <c r="S671" s="1" t="s">
        <v>37</v>
      </c>
      <c r="T671" s="1" t="s">
        <v>36</v>
      </c>
      <c r="U671">
        <v>4.2</v>
      </c>
      <c r="V671" t="s">
        <v>38</v>
      </c>
      <c r="W671">
        <v>8</v>
      </c>
      <c r="X671" s="1" t="s">
        <v>57</v>
      </c>
    </row>
    <row r="672" spans="1:24" x14ac:dyDescent="0.55000000000000004">
      <c r="A672" s="1" t="s">
        <v>756</v>
      </c>
      <c r="B672" s="1" t="s">
        <v>105</v>
      </c>
      <c r="C672">
        <v>53</v>
      </c>
      <c r="D672" s="1" t="s">
        <v>26</v>
      </c>
      <c r="E672" s="1" t="s">
        <v>52</v>
      </c>
      <c r="F672" s="1" t="s">
        <v>44</v>
      </c>
      <c r="G672" s="1" t="s">
        <v>29</v>
      </c>
      <c r="H672" s="1" t="s">
        <v>65</v>
      </c>
      <c r="I672" s="1" t="s">
        <v>53</v>
      </c>
      <c r="J672" s="1" t="s">
        <v>54</v>
      </c>
      <c r="K672" s="1" t="s">
        <v>33</v>
      </c>
      <c r="L672" s="2">
        <v>46059</v>
      </c>
      <c r="M672" s="2">
        <v>46100</v>
      </c>
      <c r="N672">
        <v>1611067</v>
      </c>
      <c r="O672">
        <v>58543</v>
      </c>
      <c r="P672">
        <v>1552524</v>
      </c>
      <c r="Q672" s="1" t="s">
        <v>66</v>
      </c>
      <c r="R672" s="1" t="s">
        <v>48</v>
      </c>
      <c r="S672" s="1" t="s">
        <v>37</v>
      </c>
      <c r="T672" s="1" t="s">
        <v>36</v>
      </c>
      <c r="U672">
        <v>4.3</v>
      </c>
      <c r="V672" t="s">
        <v>38</v>
      </c>
      <c r="W672">
        <v>3</v>
      </c>
      <c r="X672" s="1" t="s">
        <v>96</v>
      </c>
    </row>
    <row r="673" spans="1:24" x14ac:dyDescent="0.55000000000000004">
      <c r="A673" s="1" t="s">
        <v>757</v>
      </c>
      <c r="B673" s="1" t="s">
        <v>83</v>
      </c>
      <c r="C673">
        <v>47</v>
      </c>
      <c r="D673" s="1" t="s">
        <v>42</v>
      </c>
      <c r="E673" s="1" t="s">
        <v>90</v>
      </c>
      <c r="F673" s="1" t="s">
        <v>44</v>
      </c>
      <c r="G673" s="1" t="s">
        <v>29</v>
      </c>
      <c r="H673" s="1" t="s">
        <v>30</v>
      </c>
      <c r="I673" s="1" t="s">
        <v>59</v>
      </c>
      <c r="J673" s="1" t="s">
        <v>54</v>
      </c>
      <c r="K673" s="1" t="s">
        <v>33</v>
      </c>
      <c r="L673" s="2">
        <v>45881</v>
      </c>
      <c r="M673" s="2">
        <v>45913</v>
      </c>
      <c r="N673">
        <v>1803922</v>
      </c>
      <c r="O673">
        <v>85111</v>
      </c>
      <c r="P673">
        <v>1718811</v>
      </c>
      <c r="Q673" s="1" t="s">
        <v>47</v>
      </c>
      <c r="R673" s="1" t="s">
        <v>67</v>
      </c>
      <c r="S673" s="1" t="s">
        <v>36</v>
      </c>
      <c r="T673" s="1" t="s">
        <v>37</v>
      </c>
      <c r="U673">
        <v>3.8</v>
      </c>
      <c r="V673" t="s">
        <v>38</v>
      </c>
      <c r="W673">
        <v>9</v>
      </c>
      <c r="X673" s="1" t="s">
        <v>103</v>
      </c>
    </row>
    <row r="674" spans="1:24" x14ac:dyDescent="0.55000000000000004">
      <c r="A674" s="1" t="s">
        <v>758</v>
      </c>
      <c r="B674" s="1" t="s">
        <v>81</v>
      </c>
      <c r="C674">
        <v>59</v>
      </c>
      <c r="D674" s="1" t="s">
        <v>42</v>
      </c>
      <c r="E674" s="1" t="s">
        <v>90</v>
      </c>
      <c r="F674" s="1" t="s">
        <v>44</v>
      </c>
      <c r="G674" s="1" t="s">
        <v>29</v>
      </c>
      <c r="H674" s="1" t="s">
        <v>30</v>
      </c>
      <c r="I674" s="1" t="s">
        <v>59</v>
      </c>
      <c r="J674" s="1" t="s">
        <v>54</v>
      </c>
      <c r="K674" s="1" t="s">
        <v>33</v>
      </c>
      <c r="L674" s="2">
        <v>46121</v>
      </c>
      <c r="M674" s="2">
        <v>46152</v>
      </c>
      <c r="N674">
        <v>1549220</v>
      </c>
      <c r="O674">
        <v>42065</v>
      </c>
      <c r="P674">
        <v>1507155</v>
      </c>
      <c r="Q674" s="1" t="s">
        <v>47</v>
      </c>
      <c r="R674" s="1" t="s">
        <v>109</v>
      </c>
      <c r="S674" s="1" t="s">
        <v>36</v>
      </c>
      <c r="T674" s="1" t="s">
        <v>36</v>
      </c>
      <c r="U674">
        <v>4.8</v>
      </c>
      <c r="V674" t="s">
        <v>38</v>
      </c>
      <c r="W674">
        <v>5</v>
      </c>
      <c r="X674" s="1" t="s">
        <v>86</v>
      </c>
    </row>
    <row r="675" spans="1:24" x14ac:dyDescent="0.55000000000000004">
      <c r="A675" s="1" t="s">
        <v>759</v>
      </c>
      <c r="B675" s="1" t="s">
        <v>81</v>
      </c>
      <c r="C675">
        <v>21</v>
      </c>
      <c r="D675" s="1" t="s">
        <v>26</v>
      </c>
      <c r="E675" s="1" t="s">
        <v>90</v>
      </c>
      <c r="F675" s="1" t="s">
        <v>44</v>
      </c>
      <c r="G675" s="1" t="s">
        <v>29</v>
      </c>
      <c r="H675" s="1" t="s">
        <v>65</v>
      </c>
      <c r="I675" s="1" t="s">
        <v>74</v>
      </c>
      <c r="J675" s="1" t="s">
        <v>32</v>
      </c>
      <c r="K675" s="1" t="s">
        <v>46</v>
      </c>
      <c r="L675" s="2">
        <v>45880</v>
      </c>
      <c r="M675" s="2">
        <v>45911</v>
      </c>
      <c r="N675">
        <v>1708578</v>
      </c>
      <c r="O675">
        <v>73469</v>
      </c>
      <c r="P675">
        <v>1635109</v>
      </c>
      <c r="Q675" s="1" t="s">
        <v>78</v>
      </c>
      <c r="R675" s="1" t="s">
        <v>35</v>
      </c>
      <c r="S675" s="1" t="s">
        <v>36</v>
      </c>
      <c r="T675" s="1" t="s">
        <v>36</v>
      </c>
      <c r="U675">
        <v>4.0999999999999996</v>
      </c>
      <c r="V675" t="s">
        <v>38</v>
      </c>
      <c r="W675">
        <v>9</v>
      </c>
      <c r="X675" s="1" t="s">
        <v>103</v>
      </c>
    </row>
    <row r="676" spans="1:24" x14ac:dyDescent="0.55000000000000004">
      <c r="A676" s="1" t="s">
        <v>760</v>
      </c>
      <c r="B676" s="1" t="s">
        <v>62</v>
      </c>
      <c r="C676">
        <v>24</v>
      </c>
      <c r="D676" s="1" t="s">
        <v>26</v>
      </c>
      <c r="E676" s="1" t="s">
        <v>43</v>
      </c>
      <c r="F676" s="1" t="s">
        <v>44</v>
      </c>
      <c r="G676" s="1" t="s">
        <v>29</v>
      </c>
      <c r="H676" s="1" t="s">
        <v>77</v>
      </c>
      <c r="I676" s="1" t="s">
        <v>45</v>
      </c>
      <c r="J676" s="1" t="s">
        <v>54</v>
      </c>
      <c r="K676" s="1" t="s">
        <v>46</v>
      </c>
      <c r="L676" s="2">
        <v>46157</v>
      </c>
      <c r="M676" s="2">
        <v>46192</v>
      </c>
      <c r="N676">
        <v>1890843</v>
      </c>
      <c r="O676">
        <v>93283</v>
      </c>
      <c r="P676">
        <v>1797560</v>
      </c>
      <c r="Q676" s="1" t="s">
        <v>34</v>
      </c>
      <c r="R676" s="1" t="s">
        <v>67</v>
      </c>
      <c r="S676" s="1" t="s">
        <v>36</v>
      </c>
      <c r="T676" s="1" t="s">
        <v>37</v>
      </c>
      <c r="U676">
        <v>4.7</v>
      </c>
      <c r="V676" t="s">
        <v>38</v>
      </c>
      <c r="W676">
        <v>6</v>
      </c>
      <c r="X676" s="1" t="s">
        <v>68</v>
      </c>
    </row>
    <row r="677" spans="1:24" x14ac:dyDescent="0.55000000000000004">
      <c r="A677" s="1" t="s">
        <v>761</v>
      </c>
      <c r="B677" s="1" t="s">
        <v>81</v>
      </c>
      <c r="C677">
        <v>46</v>
      </c>
      <c r="D677" s="1" t="s">
        <v>26</v>
      </c>
      <c r="E677" s="1" t="s">
        <v>84</v>
      </c>
      <c r="F677" s="1" t="s">
        <v>85</v>
      </c>
      <c r="G677" s="1" t="s">
        <v>29</v>
      </c>
      <c r="H677" s="1" t="s">
        <v>65</v>
      </c>
      <c r="I677" s="1" t="s">
        <v>31</v>
      </c>
      <c r="J677" s="1" t="s">
        <v>54</v>
      </c>
      <c r="K677" s="1" t="s">
        <v>33</v>
      </c>
      <c r="L677" s="2">
        <v>45801</v>
      </c>
      <c r="M677" s="2">
        <v>45835</v>
      </c>
      <c r="N677">
        <v>1791217</v>
      </c>
      <c r="O677">
        <v>56647</v>
      </c>
      <c r="P677">
        <v>1734570</v>
      </c>
      <c r="Q677" s="1" t="s">
        <v>47</v>
      </c>
      <c r="R677" s="1" t="s">
        <v>35</v>
      </c>
      <c r="S677" s="1" t="s">
        <v>36</v>
      </c>
      <c r="T677" s="1" t="s">
        <v>37</v>
      </c>
      <c r="U677">
        <v>4.9000000000000004</v>
      </c>
      <c r="V677" t="s">
        <v>38</v>
      </c>
      <c r="W677">
        <v>6</v>
      </c>
      <c r="X677" s="1" t="s">
        <v>68</v>
      </c>
    </row>
    <row r="678" spans="1:24" x14ac:dyDescent="0.55000000000000004">
      <c r="A678" s="1" t="s">
        <v>762</v>
      </c>
      <c r="B678" s="1" t="s">
        <v>41</v>
      </c>
      <c r="C678">
        <v>36</v>
      </c>
      <c r="D678" s="1" t="s">
        <v>42</v>
      </c>
      <c r="E678" s="1" t="s">
        <v>27</v>
      </c>
      <c r="F678" s="1" t="s">
        <v>28</v>
      </c>
      <c r="G678" s="1" t="s">
        <v>29</v>
      </c>
      <c r="H678" s="1" t="s">
        <v>65</v>
      </c>
      <c r="I678" s="1" t="s">
        <v>45</v>
      </c>
      <c r="J678" s="1" t="s">
        <v>54</v>
      </c>
      <c r="K678" s="1" t="s">
        <v>33</v>
      </c>
      <c r="L678" s="2">
        <v>45874</v>
      </c>
      <c r="M678" s="2">
        <v>45914</v>
      </c>
      <c r="N678">
        <v>1693555</v>
      </c>
      <c r="O678">
        <v>86116</v>
      </c>
      <c r="P678">
        <v>1607439</v>
      </c>
      <c r="Q678" s="1" t="s">
        <v>34</v>
      </c>
      <c r="R678" s="1" t="s">
        <v>109</v>
      </c>
      <c r="S678" s="1" t="s">
        <v>37</v>
      </c>
      <c r="T678" s="1" t="s">
        <v>36</v>
      </c>
      <c r="U678">
        <v>3.9</v>
      </c>
      <c r="V678" t="s">
        <v>38</v>
      </c>
      <c r="W678">
        <v>9</v>
      </c>
      <c r="X678" s="1" t="s">
        <v>103</v>
      </c>
    </row>
    <row r="679" spans="1:24" x14ac:dyDescent="0.55000000000000004">
      <c r="A679" s="1" t="s">
        <v>763</v>
      </c>
      <c r="B679" s="1" t="s">
        <v>25</v>
      </c>
      <c r="C679">
        <v>24</v>
      </c>
      <c r="D679" s="1" t="s">
        <v>42</v>
      </c>
      <c r="E679" s="1" t="s">
        <v>71</v>
      </c>
      <c r="F679" s="1" t="s">
        <v>72</v>
      </c>
      <c r="G679" s="1" t="s">
        <v>29</v>
      </c>
      <c r="H679" s="1" t="s">
        <v>65</v>
      </c>
      <c r="I679" s="1" t="s">
        <v>31</v>
      </c>
      <c r="J679" s="1" t="s">
        <v>54</v>
      </c>
      <c r="K679" s="1" t="s">
        <v>33</v>
      </c>
      <c r="L679" s="2">
        <v>46128</v>
      </c>
      <c r="M679" s="2">
        <v>46170</v>
      </c>
      <c r="N679">
        <v>1526434</v>
      </c>
      <c r="O679">
        <v>93003</v>
      </c>
      <c r="P679">
        <v>1433431</v>
      </c>
      <c r="Q679" s="1" t="s">
        <v>78</v>
      </c>
      <c r="R679" s="1" t="s">
        <v>79</v>
      </c>
      <c r="S679" s="1" t="s">
        <v>36</v>
      </c>
      <c r="T679" s="1" t="s">
        <v>37</v>
      </c>
      <c r="U679">
        <v>3.2</v>
      </c>
      <c r="V679" t="s">
        <v>38</v>
      </c>
      <c r="W679">
        <v>5</v>
      </c>
      <c r="X679" s="1" t="s">
        <v>86</v>
      </c>
    </row>
    <row r="680" spans="1:24" x14ac:dyDescent="0.55000000000000004">
      <c r="A680" s="1" t="s">
        <v>764</v>
      </c>
      <c r="B680" s="1" t="s">
        <v>83</v>
      </c>
      <c r="C680">
        <v>55</v>
      </c>
      <c r="D680" s="1" t="s">
        <v>26</v>
      </c>
      <c r="E680" s="1" t="s">
        <v>43</v>
      </c>
      <c r="F680" s="1" t="s">
        <v>44</v>
      </c>
      <c r="G680" s="1" t="s">
        <v>29</v>
      </c>
      <c r="H680" s="1" t="s">
        <v>65</v>
      </c>
      <c r="I680" s="1" t="s">
        <v>45</v>
      </c>
      <c r="J680" s="1" t="s">
        <v>54</v>
      </c>
      <c r="K680" s="1" t="s">
        <v>46</v>
      </c>
      <c r="L680" s="2">
        <v>45778</v>
      </c>
      <c r="M680" s="2">
        <v>45819</v>
      </c>
      <c r="N680">
        <v>1739233</v>
      </c>
      <c r="O680">
        <v>45177</v>
      </c>
      <c r="P680">
        <v>1694056</v>
      </c>
      <c r="Q680" s="1" t="s">
        <v>78</v>
      </c>
      <c r="R680" s="1" t="s">
        <v>79</v>
      </c>
      <c r="S680" s="1" t="s">
        <v>37</v>
      </c>
      <c r="T680" s="1" t="s">
        <v>36</v>
      </c>
      <c r="U680">
        <v>4.5999999999999996</v>
      </c>
      <c r="V680" t="s">
        <v>38</v>
      </c>
      <c r="W680">
        <v>6</v>
      </c>
      <c r="X680" s="1" t="s">
        <v>68</v>
      </c>
    </row>
    <row r="681" spans="1:24" x14ac:dyDescent="0.55000000000000004">
      <c r="A681" s="1" t="s">
        <v>765</v>
      </c>
      <c r="B681" s="1" t="s">
        <v>98</v>
      </c>
      <c r="C681">
        <v>32</v>
      </c>
      <c r="D681" s="1" t="s">
        <v>42</v>
      </c>
      <c r="E681" s="1" t="s">
        <v>71</v>
      </c>
      <c r="F681" s="1" t="s">
        <v>72</v>
      </c>
      <c r="G681" s="1" t="s">
        <v>29</v>
      </c>
      <c r="H681" s="1" t="s">
        <v>65</v>
      </c>
      <c r="I681" s="1" t="s">
        <v>31</v>
      </c>
      <c r="J681" s="1" t="s">
        <v>54</v>
      </c>
      <c r="K681" s="1" t="s">
        <v>33</v>
      </c>
      <c r="L681" s="2">
        <v>46034</v>
      </c>
      <c r="M681" s="2">
        <v>46044</v>
      </c>
      <c r="N681">
        <v>1776217</v>
      </c>
      <c r="O681">
        <v>22800</v>
      </c>
      <c r="P681">
        <v>1753417</v>
      </c>
      <c r="Q681" s="1" t="s">
        <v>66</v>
      </c>
      <c r="R681" s="1" t="s">
        <v>48</v>
      </c>
      <c r="S681" s="1" t="s">
        <v>36</v>
      </c>
      <c r="T681" s="1" t="s">
        <v>36</v>
      </c>
      <c r="U681">
        <v>4.7</v>
      </c>
      <c r="V681" t="s">
        <v>91</v>
      </c>
      <c r="W681">
        <v>1</v>
      </c>
      <c r="X681" s="1" t="s">
        <v>88</v>
      </c>
    </row>
    <row r="682" spans="1:24" x14ac:dyDescent="0.55000000000000004">
      <c r="A682" s="1" t="s">
        <v>766</v>
      </c>
      <c r="B682" s="1" t="s">
        <v>105</v>
      </c>
      <c r="C682">
        <v>54</v>
      </c>
      <c r="D682" s="1" t="s">
        <v>26</v>
      </c>
      <c r="E682" s="1" t="s">
        <v>43</v>
      </c>
      <c r="F682" s="1" t="s">
        <v>44</v>
      </c>
      <c r="G682" s="1" t="s">
        <v>29</v>
      </c>
      <c r="H682" s="1" t="s">
        <v>65</v>
      </c>
      <c r="I682" s="1" t="s">
        <v>45</v>
      </c>
      <c r="J682" s="1" t="s">
        <v>54</v>
      </c>
      <c r="K682" s="1" t="s">
        <v>33</v>
      </c>
      <c r="L682" s="2">
        <v>46031</v>
      </c>
      <c r="M682" s="2">
        <v>46061</v>
      </c>
      <c r="N682">
        <v>1373495</v>
      </c>
      <c r="O682">
        <v>48021</v>
      </c>
      <c r="P682">
        <v>1325474</v>
      </c>
      <c r="Q682" s="1" t="s">
        <v>55</v>
      </c>
      <c r="R682" s="1" t="s">
        <v>48</v>
      </c>
      <c r="S682" s="1" t="s">
        <v>37</v>
      </c>
      <c r="T682" s="1" t="s">
        <v>36</v>
      </c>
      <c r="U682">
        <v>3.9</v>
      </c>
      <c r="V682" t="s">
        <v>38</v>
      </c>
      <c r="W682">
        <v>2</v>
      </c>
      <c r="X682" s="1" t="s">
        <v>107</v>
      </c>
    </row>
    <row r="683" spans="1:24" x14ac:dyDescent="0.55000000000000004">
      <c r="A683" s="1" t="s">
        <v>767</v>
      </c>
      <c r="B683" s="1" t="s">
        <v>41</v>
      </c>
      <c r="C683">
        <v>41</v>
      </c>
      <c r="D683" s="1" t="s">
        <v>26</v>
      </c>
      <c r="E683" s="1" t="s">
        <v>52</v>
      </c>
      <c r="F683" s="1" t="s">
        <v>44</v>
      </c>
      <c r="G683" s="1" t="s">
        <v>29</v>
      </c>
      <c r="H683" s="1" t="s">
        <v>30</v>
      </c>
      <c r="I683" s="1" t="s">
        <v>45</v>
      </c>
      <c r="J683" s="1" t="s">
        <v>32</v>
      </c>
      <c r="K683" s="1" t="s">
        <v>33</v>
      </c>
      <c r="L683" s="2">
        <v>45903</v>
      </c>
      <c r="M683" s="2">
        <v>45910</v>
      </c>
      <c r="N683">
        <v>1522030</v>
      </c>
      <c r="O683">
        <v>59630</v>
      </c>
      <c r="P683">
        <v>1462400</v>
      </c>
      <c r="Q683" s="1" t="s">
        <v>66</v>
      </c>
      <c r="R683" s="1" t="s">
        <v>67</v>
      </c>
      <c r="S683" s="1" t="s">
        <v>37</v>
      </c>
      <c r="T683" s="1" t="s">
        <v>37</v>
      </c>
      <c r="U683">
        <v>4.5</v>
      </c>
      <c r="V683" t="s">
        <v>91</v>
      </c>
      <c r="W683">
        <v>9</v>
      </c>
      <c r="X683" s="1" t="s">
        <v>103</v>
      </c>
    </row>
    <row r="684" spans="1:24" x14ac:dyDescent="0.55000000000000004">
      <c r="A684" s="1" t="s">
        <v>768</v>
      </c>
      <c r="B684" s="1" t="s">
        <v>98</v>
      </c>
      <c r="C684">
        <v>55</v>
      </c>
      <c r="D684" s="1" t="s">
        <v>26</v>
      </c>
      <c r="E684" s="1" t="s">
        <v>71</v>
      </c>
      <c r="F684" s="1" t="s">
        <v>72</v>
      </c>
      <c r="G684" s="1" t="s">
        <v>29</v>
      </c>
      <c r="H684" s="1" t="s">
        <v>65</v>
      </c>
      <c r="I684" s="1" t="s">
        <v>59</v>
      </c>
      <c r="J684" s="1" t="s">
        <v>32</v>
      </c>
      <c r="K684" s="1" t="s">
        <v>33</v>
      </c>
      <c r="L684" s="2">
        <v>45831</v>
      </c>
      <c r="M684" s="2">
        <v>45855</v>
      </c>
      <c r="N684">
        <v>1868423</v>
      </c>
      <c r="O684">
        <v>45588</v>
      </c>
      <c r="P684">
        <v>1822835</v>
      </c>
      <c r="Q684" s="1" t="s">
        <v>78</v>
      </c>
      <c r="R684" s="1" t="s">
        <v>109</v>
      </c>
      <c r="S684" s="1" t="s">
        <v>36</v>
      </c>
      <c r="T684" s="1" t="s">
        <v>36</v>
      </c>
      <c r="U684">
        <v>4.8</v>
      </c>
      <c r="V684" t="s">
        <v>38</v>
      </c>
      <c r="W684">
        <v>7</v>
      </c>
      <c r="X684" s="1" t="s">
        <v>39</v>
      </c>
    </row>
    <row r="685" spans="1:24" x14ac:dyDescent="0.55000000000000004">
      <c r="A685" s="1" t="s">
        <v>769</v>
      </c>
      <c r="B685" s="1" t="s">
        <v>62</v>
      </c>
      <c r="C685">
        <v>48</v>
      </c>
      <c r="D685" s="1" t="s">
        <v>26</v>
      </c>
      <c r="E685" s="1" t="s">
        <v>71</v>
      </c>
      <c r="F685" s="1" t="s">
        <v>72</v>
      </c>
      <c r="G685" s="1" t="s">
        <v>29</v>
      </c>
      <c r="H685" s="1" t="s">
        <v>30</v>
      </c>
      <c r="I685" s="1" t="s">
        <v>59</v>
      </c>
      <c r="J685" s="1" t="s">
        <v>54</v>
      </c>
      <c r="K685" s="1" t="s">
        <v>33</v>
      </c>
      <c r="L685" s="2">
        <v>45690</v>
      </c>
      <c r="M685" s="2">
        <v>45722</v>
      </c>
      <c r="N685">
        <v>1535063</v>
      </c>
      <c r="O685">
        <v>86192</v>
      </c>
      <c r="P685">
        <v>1448871</v>
      </c>
      <c r="Q685" s="1" t="s">
        <v>78</v>
      </c>
      <c r="R685" s="1" t="s">
        <v>48</v>
      </c>
      <c r="S685" s="1" t="s">
        <v>37</v>
      </c>
      <c r="T685" s="1" t="s">
        <v>36</v>
      </c>
      <c r="U685">
        <v>3.2</v>
      </c>
      <c r="V685" t="s">
        <v>38</v>
      </c>
      <c r="W685">
        <v>3</v>
      </c>
      <c r="X685" s="1" t="s">
        <v>96</v>
      </c>
    </row>
    <row r="686" spans="1:24" x14ac:dyDescent="0.55000000000000004">
      <c r="A686" s="1" t="s">
        <v>770</v>
      </c>
      <c r="B686" s="1" t="s">
        <v>51</v>
      </c>
      <c r="C686">
        <v>54</v>
      </c>
      <c r="D686" s="1" t="s">
        <v>42</v>
      </c>
      <c r="E686" s="1" t="s">
        <v>84</v>
      </c>
      <c r="F686" s="1" t="s">
        <v>85</v>
      </c>
      <c r="G686" s="1" t="s">
        <v>29</v>
      </c>
      <c r="H686" s="1" t="s">
        <v>65</v>
      </c>
      <c r="I686" s="1" t="s">
        <v>59</v>
      </c>
      <c r="J686" s="1" t="s">
        <v>32</v>
      </c>
      <c r="K686" s="1" t="s">
        <v>46</v>
      </c>
      <c r="L686" s="2">
        <v>45708</v>
      </c>
      <c r="M686" s="2">
        <v>45741</v>
      </c>
      <c r="N686">
        <v>1563315</v>
      </c>
      <c r="O686">
        <v>77791</v>
      </c>
      <c r="P686">
        <v>1485524</v>
      </c>
      <c r="Q686" s="1" t="s">
        <v>47</v>
      </c>
      <c r="R686" s="1" t="s">
        <v>67</v>
      </c>
      <c r="S686" s="1" t="s">
        <v>37</v>
      </c>
      <c r="T686" s="1" t="s">
        <v>36</v>
      </c>
      <c r="U686">
        <v>4.5</v>
      </c>
      <c r="V686" t="s">
        <v>38</v>
      </c>
      <c r="W686">
        <v>3</v>
      </c>
      <c r="X686" s="1" t="s">
        <v>96</v>
      </c>
    </row>
    <row r="687" spans="1:24" x14ac:dyDescent="0.55000000000000004">
      <c r="A687" s="1" t="s">
        <v>771</v>
      </c>
      <c r="B687" s="1" t="s">
        <v>70</v>
      </c>
      <c r="C687">
        <v>29</v>
      </c>
      <c r="D687" s="1" t="s">
        <v>42</v>
      </c>
      <c r="E687" s="1" t="s">
        <v>84</v>
      </c>
      <c r="F687" s="1" t="s">
        <v>85</v>
      </c>
      <c r="G687" s="1" t="s">
        <v>29</v>
      </c>
      <c r="H687" s="1" t="s">
        <v>65</v>
      </c>
      <c r="I687" s="1" t="s">
        <v>31</v>
      </c>
      <c r="J687" s="1" t="s">
        <v>32</v>
      </c>
      <c r="K687" s="1" t="s">
        <v>46</v>
      </c>
      <c r="L687" s="2">
        <v>45805</v>
      </c>
      <c r="M687" s="2">
        <v>45829</v>
      </c>
      <c r="N687">
        <v>1416980</v>
      </c>
      <c r="O687">
        <v>91976</v>
      </c>
      <c r="P687">
        <v>1325004</v>
      </c>
      <c r="Q687" s="1" t="s">
        <v>34</v>
      </c>
      <c r="R687" s="1" t="s">
        <v>109</v>
      </c>
      <c r="S687" s="1" t="s">
        <v>36</v>
      </c>
      <c r="T687" s="1" t="s">
        <v>37</v>
      </c>
      <c r="U687">
        <v>3.5</v>
      </c>
      <c r="V687" t="s">
        <v>38</v>
      </c>
      <c r="W687">
        <v>6</v>
      </c>
      <c r="X687" s="1" t="s">
        <v>68</v>
      </c>
    </row>
    <row r="688" spans="1:24" x14ac:dyDescent="0.55000000000000004">
      <c r="A688" s="1" t="s">
        <v>772</v>
      </c>
      <c r="B688" s="1" t="s">
        <v>70</v>
      </c>
      <c r="C688">
        <v>27</v>
      </c>
      <c r="D688" s="1" t="s">
        <v>42</v>
      </c>
      <c r="E688" s="1" t="s">
        <v>27</v>
      </c>
      <c r="F688" s="1" t="s">
        <v>28</v>
      </c>
      <c r="G688" s="1" t="s">
        <v>29</v>
      </c>
      <c r="H688" s="1" t="s">
        <v>77</v>
      </c>
      <c r="I688" s="1" t="s">
        <v>59</v>
      </c>
      <c r="J688" s="1" t="s">
        <v>32</v>
      </c>
      <c r="K688" s="1" t="s">
        <v>46</v>
      </c>
      <c r="L688" s="2">
        <v>46065</v>
      </c>
      <c r="M688" s="2">
        <v>46082</v>
      </c>
      <c r="N688">
        <v>1575037</v>
      </c>
      <c r="O688">
        <v>89354</v>
      </c>
      <c r="P688">
        <v>1485683</v>
      </c>
      <c r="Q688" s="1" t="s">
        <v>78</v>
      </c>
      <c r="R688" s="1" t="s">
        <v>48</v>
      </c>
      <c r="S688" s="1" t="s">
        <v>37</v>
      </c>
      <c r="T688" s="1" t="s">
        <v>37</v>
      </c>
      <c r="U688">
        <v>4.0999999999999996</v>
      </c>
      <c r="V688" t="s">
        <v>56</v>
      </c>
      <c r="W688">
        <v>3</v>
      </c>
      <c r="X688" s="1" t="s">
        <v>96</v>
      </c>
    </row>
    <row r="689" spans="1:24" x14ac:dyDescent="0.55000000000000004">
      <c r="A689" s="1" t="s">
        <v>773</v>
      </c>
      <c r="B689" s="1" t="s">
        <v>25</v>
      </c>
      <c r="C689">
        <v>35</v>
      </c>
      <c r="D689" s="1" t="s">
        <v>42</v>
      </c>
      <c r="E689" s="1" t="s">
        <v>71</v>
      </c>
      <c r="F689" s="1" t="s">
        <v>72</v>
      </c>
      <c r="G689" s="1" t="s">
        <v>29</v>
      </c>
      <c r="H689" s="1" t="s">
        <v>65</v>
      </c>
      <c r="I689" s="1" t="s">
        <v>31</v>
      </c>
      <c r="J689" s="1" t="s">
        <v>32</v>
      </c>
      <c r="K689" s="1" t="s">
        <v>33</v>
      </c>
      <c r="L689" s="2">
        <v>46198</v>
      </c>
      <c r="M689" s="2">
        <v>46211</v>
      </c>
      <c r="N689">
        <v>1509278</v>
      </c>
      <c r="O689">
        <v>63156</v>
      </c>
      <c r="P689">
        <v>1446122</v>
      </c>
      <c r="Q689" s="1" t="s">
        <v>47</v>
      </c>
      <c r="R689" s="1" t="s">
        <v>48</v>
      </c>
      <c r="S689" s="1" t="s">
        <v>37</v>
      </c>
      <c r="T689" s="1" t="s">
        <v>37</v>
      </c>
      <c r="U689">
        <v>3.8</v>
      </c>
      <c r="V689" t="s">
        <v>56</v>
      </c>
      <c r="W689">
        <v>7</v>
      </c>
      <c r="X689" s="1" t="s">
        <v>39</v>
      </c>
    </row>
    <row r="690" spans="1:24" x14ac:dyDescent="0.55000000000000004">
      <c r="A690" s="1" t="s">
        <v>774</v>
      </c>
      <c r="B690" s="1" t="s">
        <v>93</v>
      </c>
      <c r="C690">
        <v>55</v>
      </c>
      <c r="D690" s="1" t="s">
        <v>42</v>
      </c>
      <c r="E690" s="1" t="s">
        <v>90</v>
      </c>
      <c r="F690" s="1" t="s">
        <v>44</v>
      </c>
      <c r="G690" s="1" t="s">
        <v>29</v>
      </c>
      <c r="H690" s="1" t="s">
        <v>65</v>
      </c>
      <c r="I690" s="1" t="s">
        <v>53</v>
      </c>
      <c r="J690" s="1" t="s">
        <v>54</v>
      </c>
      <c r="K690" s="1" t="s">
        <v>46</v>
      </c>
      <c r="L690" s="2">
        <v>45964</v>
      </c>
      <c r="M690" s="2">
        <v>45986</v>
      </c>
      <c r="N690">
        <v>1833223</v>
      </c>
      <c r="O690">
        <v>31332</v>
      </c>
      <c r="P690">
        <v>1801891</v>
      </c>
      <c r="Q690" s="1" t="s">
        <v>66</v>
      </c>
      <c r="R690" s="1" t="s">
        <v>67</v>
      </c>
      <c r="S690" s="1" t="s">
        <v>36</v>
      </c>
      <c r="T690" s="1" t="s">
        <v>37</v>
      </c>
      <c r="U690">
        <v>4.0999999999999996</v>
      </c>
      <c r="V690" t="s">
        <v>38</v>
      </c>
      <c r="W690">
        <v>11</v>
      </c>
      <c r="X690" s="1" t="s">
        <v>60</v>
      </c>
    </row>
    <row r="691" spans="1:24" x14ac:dyDescent="0.55000000000000004">
      <c r="A691" s="1" t="s">
        <v>775</v>
      </c>
      <c r="B691" s="1" t="s">
        <v>70</v>
      </c>
      <c r="C691">
        <v>47</v>
      </c>
      <c r="D691" s="1" t="s">
        <v>26</v>
      </c>
      <c r="E691" s="1" t="s">
        <v>84</v>
      </c>
      <c r="F691" s="1" t="s">
        <v>85</v>
      </c>
      <c r="G691" s="1" t="s">
        <v>29</v>
      </c>
      <c r="H691" s="1" t="s">
        <v>30</v>
      </c>
      <c r="I691" s="1" t="s">
        <v>45</v>
      </c>
      <c r="J691" s="1" t="s">
        <v>32</v>
      </c>
      <c r="K691" s="1" t="s">
        <v>33</v>
      </c>
      <c r="L691" s="2">
        <v>45889</v>
      </c>
      <c r="M691" s="2">
        <v>45912</v>
      </c>
      <c r="N691">
        <v>1452730</v>
      </c>
      <c r="O691">
        <v>25477</v>
      </c>
      <c r="P691">
        <v>1427253</v>
      </c>
      <c r="Q691" s="1" t="s">
        <v>34</v>
      </c>
      <c r="R691" s="1" t="s">
        <v>109</v>
      </c>
      <c r="S691" s="1" t="s">
        <v>37</v>
      </c>
      <c r="T691" s="1" t="s">
        <v>36</v>
      </c>
      <c r="U691">
        <v>4.4000000000000004</v>
      </c>
      <c r="V691" t="s">
        <v>38</v>
      </c>
      <c r="W691">
        <v>9</v>
      </c>
      <c r="X691" s="1" t="s">
        <v>103</v>
      </c>
    </row>
    <row r="692" spans="1:24" x14ac:dyDescent="0.55000000000000004">
      <c r="A692" s="1" t="s">
        <v>776</v>
      </c>
      <c r="B692" s="1" t="s">
        <v>81</v>
      </c>
      <c r="C692">
        <v>34</v>
      </c>
      <c r="D692" s="1" t="s">
        <v>42</v>
      </c>
      <c r="E692" s="1" t="s">
        <v>27</v>
      </c>
      <c r="F692" s="1" t="s">
        <v>28</v>
      </c>
      <c r="G692" s="1" t="s">
        <v>29</v>
      </c>
      <c r="H692" s="1" t="s">
        <v>65</v>
      </c>
      <c r="I692" s="1" t="s">
        <v>74</v>
      </c>
      <c r="J692" s="1" t="s">
        <v>54</v>
      </c>
      <c r="K692" s="1" t="s">
        <v>46</v>
      </c>
      <c r="L692" s="2">
        <v>46079</v>
      </c>
      <c r="M692" s="2">
        <v>46123</v>
      </c>
      <c r="N692">
        <v>1432773</v>
      </c>
      <c r="O692">
        <v>61354</v>
      </c>
      <c r="P692">
        <v>1371419</v>
      </c>
      <c r="Q692" s="1" t="s">
        <v>55</v>
      </c>
      <c r="R692" s="1" t="s">
        <v>79</v>
      </c>
      <c r="S692" s="1" t="s">
        <v>36</v>
      </c>
      <c r="T692" s="1" t="s">
        <v>36</v>
      </c>
      <c r="U692">
        <v>3.4</v>
      </c>
      <c r="V692" t="s">
        <v>38</v>
      </c>
      <c r="W692">
        <v>4</v>
      </c>
      <c r="X692" s="1" t="s">
        <v>63</v>
      </c>
    </row>
    <row r="693" spans="1:24" x14ac:dyDescent="0.55000000000000004">
      <c r="A693" s="1" t="s">
        <v>777</v>
      </c>
      <c r="B693" s="1" t="s">
        <v>93</v>
      </c>
      <c r="C693">
        <v>53</v>
      </c>
      <c r="D693" s="1" t="s">
        <v>42</v>
      </c>
      <c r="E693" s="1" t="s">
        <v>52</v>
      </c>
      <c r="F693" s="1" t="s">
        <v>44</v>
      </c>
      <c r="G693" s="1" t="s">
        <v>29</v>
      </c>
      <c r="H693" s="1" t="s">
        <v>30</v>
      </c>
      <c r="I693" s="1" t="s">
        <v>31</v>
      </c>
      <c r="J693" s="1" t="s">
        <v>32</v>
      </c>
      <c r="K693" s="1" t="s">
        <v>46</v>
      </c>
      <c r="L693" s="2">
        <v>45713</v>
      </c>
      <c r="M693" s="2">
        <v>45740</v>
      </c>
      <c r="N693">
        <v>1774407</v>
      </c>
      <c r="O693">
        <v>97458</v>
      </c>
      <c r="P693">
        <v>1676949</v>
      </c>
      <c r="Q693" s="1" t="s">
        <v>55</v>
      </c>
      <c r="R693" s="1" t="s">
        <v>79</v>
      </c>
      <c r="S693" s="1" t="s">
        <v>37</v>
      </c>
      <c r="T693" s="1" t="s">
        <v>36</v>
      </c>
      <c r="U693">
        <v>4.8</v>
      </c>
      <c r="V693" t="s">
        <v>38</v>
      </c>
      <c r="W693">
        <v>3</v>
      </c>
      <c r="X693" s="1" t="s">
        <v>96</v>
      </c>
    </row>
    <row r="694" spans="1:24" x14ac:dyDescent="0.55000000000000004">
      <c r="A694" s="1" t="s">
        <v>778</v>
      </c>
      <c r="B694" s="1" t="s">
        <v>41</v>
      </c>
      <c r="C694">
        <v>36</v>
      </c>
      <c r="D694" s="1" t="s">
        <v>42</v>
      </c>
      <c r="E694" s="1" t="s">
        <v>43</v>
      </c>
      <c r="F694" s="1" t="s">
        <v>44</v>
      </c>
      <c r="G694" s="1" t="s">
        <v>29</v>
      </c>
      <c r="H694" s="1" t="s">
        <v>30</v>
      </c>
      <c r="I694" s="1" t="s">
        <v>45</v>
      </c>
      <c r="J694" s="1" t="s">
        <v>54</v>
      </c>
      <c r="K694" s="1" t="s">
        <v>46</v>
      </c>
      <c r="L694" s="2">
        <v>45815</v>
      </c>
      <c r="M694" s="2">
        <v>45844</v>
      </c>
      <c r="N694">
        <v>1489126</v>
      </c>
      <c r="O694">
        <v>74190</v>
      </c>
      <c r="P694">
        <v>1414936</v>
      </c>
      <c r="Q694" s="1" t="s">
        <v>34</v>
      </c>
      <c r="R694" s="1" t="s">
        <v>79</v>
      </c>
      <c r="S694" s="1" t="s">
        <v>37</v>
      </c>
      <c r="T694" s="1" t="s">
        <v>37</v>
      </c>
      <c r="U694">
        <v>3.1</v>
      </c>
      <c r="V694" t="s">
        <v>38</v>
      </c>
      <c r="W694">
        <v>7</v>
      </c>
      <c r="X694" s="1" t="s">
        <v>39</v>
      </c>
    </row>
    <row r="695" spans="1:24" x14ac:dyDescent="0.55000000000000004">
      <c r="A695" s="1" t="s">
        <v>779</v>
      </c>
      <c r="B695" s="1" t="s">
        <v>62</v>
      </c>
      <c r="C695">
        <v>24</v>
      </c>
      <c r="D695" s="1" t="s">
        <v>42</v>
      </c>
      <c r="E695" s="1" t="s">
        <v>71</v>
      </c>
      <c r="F695" s="1" t="s">
        <v>72</v>
      </c>
      <c r="G695" s="1" t="s">
        <v>29</v>
      </c>
      <c r="H695" s="1" t="s">
        <v>30</v>
      </c>
      <c r="I695" s="1" t="s">
        <v>31</v>
      </c>
      <c r="J695" s="1" t="s">
        <v>32</v>
      </c>
      <c r="K695" s="1" t="s">
        <v>33</v>
      </c>
      <c r="L695" s="2">
        <v>45733</v>
      </c>
      <c r="M695" s="2">
        <v>45762</v>
      </c>
      <c r="N695">
        <v>1781745</v>
      </c>
      <c r="O695">
        <v>67150</v>
      </c>
      <c r="P695">
        <v>1714595</v>
      </c>
      <c r="Q695" s="1" t="s">
        <v>66</v>
      </c>
      <c r="R695" s="1" t="s">
        <v>79</v>
      </c>
      <c r="S695" s="1" t="s">
        <v>37</v>
      </c>
      <c r="T695" s="1" t="s">
        <v>36</v>
      </c>
      <c r="U695">
        <v>4.0999999999999996</v>
      </c>
      <c r="V695" t="s">
        <v>38</v>
      </c>
      <c r="W695">
        <v>4</v>
      </c>
      <c r="X695" s="1" t="s">
        <v>63</v>
      </c>
    </row>
    <row r="696" spans="1:24" x14ac:dyDescent="0.55000000000000004">
      <c r="A696" s="1" t="s">
        <v>780</v>
      </c>
      <c r="B696" s="1" t="s">
        <v>81</v>
      </c>
      <c r="C696">
        <v>30</v>
      </c>
      <c r="D696" s="1" t="s">
        <v>26</v>
      </c>
      <c r="E696" s="1" t="s">
        <v>27</v>
      </c>
      <c r="F696" s="1" t="s">
        <v>28</v>
      </c>
      <c r="G696" s="1" t="s">
        <v>29</v>
      </c>
      <c r="H696" s="1" t="s">
        <v>65</v>
      </c>
      <c r="I696" s="1" t="s">
        <v>53</v>
      </c>
      <c r="J696" s="1" t="s">
        <v>32</v>
      </c>
      <c r="K696" s="1" t="s">
        <v>46</v>
      </c>
      <c r="L696" s="2">
        <v>45745</v>
      </c>
      <c r="M696" s="2">
        <v>45779</v>
      </c>
      <c r="N696">
        <v>1480069</v>
      </c>
      <c r="O696">
        <v>52974</v>
      </c>
      <c r="P696">
        <v>1427095</v>
      </c>
      <c r="Q696" s="1" t="s">
        <v>34</v>
      </c>
      <c r="R696" s="1" t="s">
        <v>48</v>
      </c>
      <c r="S696" s="1" t="s">
        <v>37</v>
      </c>
      <c r="T696" s="1" t="s">
        <v>37</v>
      </c>
      <c r="U696">
        <v>4.2</v>
      </c>
      <c r="V696" t="s">
        <v>38</v>
      </c>
      <c r="W696">
        <v>5</v>
      </c>
      <c r="X696" s="1" t="s">
        <v>86</v>
      </c>
    </row>
    <row r="697" spans="1:24" x14ac:dyDescent="0.55000000000000004">
      <c r="A697" s="1" t="s">
        <v>781</v>
      </c>
      <c r="B697" s="1" t="s">
        <v>62</v>
      </c>
      <c r="C697">
        <v>33</v>
      </c>
      <c r="D697" s="1" t="s">
        <v>26</v>
      </c>
      <c r="E697" s="1" t="s">
        <v>27</v>
      </c>
      <c r="F697" s="1" t="s">
        <v>28</v>
      </c>
      <c r="G697" s="1" t="s">
        <v>29</v>
      </c>
      <c r="H697" s="1" t="s">
        <v>65</v>
      </c>
      <c r="I697" s="1" t="s">
        <v>74</v>
      </c>
      <c r="J697" s="1" t="s">
        <v>54</v>
      </c>
      <c r="K697" s="1" t="s">
        <v>33</v>
      </c>
      <c r="L697" s="2">
        <v>46082</v>
      </c>
      <c r="M697" s="2">
        <v>46104</v>
      </c>
      <c r="N697">
        <v>1464675</v>
      </c>
      <c r="O697">
        <v>62534</v>
      </c>
      <c r="P697">
        <v>1402141</v>
      </c>
      <c r="Q697" s="1" t="s">
        <v>47</v>
      </c>
      <c r="R697" s="1" t="s">
        <v>109</v>
      </c>
      <c r="S697" s="1" t="s">
        <v>37</v>
      </c>
      <c r="T697" s="1" t="s">
        <v>37</v>
      </c>
      <c r="U697">
        <v>4.2</v>
      </c>
      <c r="V697" t="s">
        <v>38</v>
      </c>
      <c r="W697">
        <v>3</v>
      </c>
      <c r="X697" s="1" t="s">
        <v>96</v>
      </c>
    </row>
    <row r="698" spans="1:24" x14ac:dyDescent="0.55000000000000004">
      <c r="A698" s="1" t="s">
        <v>782</v>
      </c>
      <c r="B698" s="1" t="s">
        <v>41</v>
      </c>
      <c r="C698">
        <v>21</v>
      </c>
      <c r="D698" s="1" t="s">
        <v>42</v>
      </c>
      <c r="E698" s="1" t="s">
        <v>43</v>
      </c>
      <c r="F698" s="1" t="s">
        <v>44</v>
      </c>
      <c r="G698" s="1" t="s">
        <v>29</v>
      </c>
      <c r="H698" s="1" t="s">
        <v>30</v>
      </c>
      <c r="I698" s="1" t="s">
        <v>31</v>
      </c>
      <c r="J698" s="1" t="s">
        <v>54</v>
      </c>
      <c r="K698" s="1" t="s">
        <v>33</v>
      </c>
      <c r="L698" s="2">
        <v>45795</v>
      </c>
      <c r="M698" s="2">
        <v>45819</v>
      </c>
      <c r="N698">
        <v>1564038</v>
      </c>
      <c r="O698">
        <v>19531</v>
      </c>
      <c r="P698">
        <v>1544507</v>
      </c>
      <c r="Q698" s="1" t="s">
        <v>55</v>
      </c>
      <c r="R698" s="1" t="s">
        <v>48</v>
      </c>
      <c r="S698" s="1" t="s">
        <v>36</v>
      </c>
      <c r="T698" s="1" t="s">
        <v>37</v>
      </c>
      <c r="U698">
        <v>4.3</v>
      </c>
      <c r="V698" t="s">
        <v>38</v>
      </c>
      <c r="W698">
        <v>6</v>
      </c>
      <c r="X698" s="1" t="s">
        <v>68</v>
      </c>
    </row>
    <row r="699" spans="1:24" x14ac:dyDescent="0.55000000000000004">
      <c r="A699" s="1" t="s">
        <v>783</v>
      </c>
      <c r="B699" s="1" t="s">
        <v>83</v>
      </c>
      <c r="C699">
        <v>35</v>
      </c>
      <c r="D699" s="1" t="s">
        <v>42</v>
      </c>
      <c r="E699" s="1" t="s">
        <v>52</v>
      </c>
      <c r="F699" s="1" t="s">
        <v>44</v>
      </c>
      <c r="G699" s="1" t="s">
        <v>29</v>
      </c>
      <c r="H699" s="1" t="s">
        <v>77</v>
      </c>
      <c r="I699" s="1" t="s">
        <v>45</v>
      </c>
      <c r="J699" s="1" t="s">
        <v>54</v>
      </c>
      <c r="K699" s="1" t="s">
        <v>33</v>
      </c>
      <c r="L699" s="2">
        <v>45959</v>
      </c>
      <c r="M699" s="2">
        <v>45996</v>
      </c>
      <c r="N699">
        <v>1439941</v>
      </c>
      <c r="O699">
        <v>94712</v>
      </c>
      <c r="P699">
        <v>1345229</v>
      </c>
      <c r="Q699" s="1" t="s">
        <v>34</v>
      </c>
      <c r="R699" s="1" t="s">
        <v>35</v>
      </c>
      <c r="S699" s="1" t="s">
        <v>37</v>
      </c>
      <c r="T699" s="1" t="s">
        <v>36</v>
      </c>
      <c r="U699">
        <v>4.5999999999999996</v>
      </c>
      <c r="V699" t="s">
        <v>38</v>
      </c>
      <c r="W699">
        <v>12</v>
      </c>
      <c r="X699" s="1" t="s">
        <v>49</v>
      </c>
    </row>
    <row r="700" spans="1:24" x14ac:dyDescent="0.55000000000000004">
      <c r="A700" s="1" t="s">
        <v>784</v>
      </c>
      <c r="B700" s="1" t="s">
        <v>25</v>
      </c>
      <c r="C700">
        <v>33</v>
      </c>
      <c r="D700" s="1" t="s">
        <v>42</v>
      </c>
      <c r="E700" s="1" t="s">
        <v>71</v>
      </c>
      <c r="F700" s="1" t="s">
        <v>72</v>
      </c>
      <c r="G700" s="1" t="s">
        <v>29</v>
      </c>
      <c r="H700" s="1" t="s">
        <v>30</v>
      </c>
      <c r="I700" s="1" t="s">
        <v>45</v>
      </c>
      <c r="J700" s="1" t="s">
        <v>32</v>
      </c>
      <c r="K700" s="1" t="s">
        <v>33</v>
      </c>
      <c r="L700" s="2">
        <v>45959</v>
      </c>
      <c r="M700" s="2">
        <v>46000</v>
      </c>
      <c r="N700">
        <v>1320682</v>
      </c>
      <c r="O700">
        <v>48681</v>
      </c>
      <c r="P700">
        <v>1272001</v>
      </c>
      <c r="Q700" s="1" t="s">
        <v>47</v>
      </c>
      <c r="R700" s="1" t="s">
        <v>79</v>
      </c>
      <c r="S700" s="1" t="s">
        <v>37</v>
      </c>
      <c r="T700" s="1" t="s">
        <v>36</v>
      </c>
      <c r="U700">
        <v>3.5</v>
      </c>
      <c r="V700" t="s">
        <v>38</v>
      </c>
      <c r="W700">
        <v>12</v>
      </c>
      <c r="X700" s="1" t="s">
        <v>49</v>
      </c>
    </row>
    <row r="701" spans="1:24" x14ac:dyDescent="0.55000000000000004">
      <c r="A701" s="1" t="s">
        <v>785</v>
      </c>
      <c r="B701" s="1" t="s">
        <v>93</v>
      </c>
      <c r="C701">
        <v>38</v>
      </c>
      <c r="D701" s="1" t="s">
        <v>42</v>
      </c>
      <c r="E701" s="1" t="s">
        <v>84</v>
      </c>
      <c r="F701" s="1" t="s">
        <v>85</v>
      </c>
      <c r="G701" s="1" t="s">
        <v>29</v>
      </c>
      <c r="H701" s="1" t="s">
        <v>65</v>
      </c>
      <c r="I701" s="1" t="s">
        <v>59</v>
      </c>
      <c r="J701" s="1" t="s">
        <v>54</v>
      </c>
      <c r="K701" s="1" t="s">
        <v>46</v>
      </c>
      <c r="L701" s="2">
        <v>46052</v>
      </c>
      <c r="M701" s="2">
        <v>46084</v>
      </c>
      <c r="N701">
        <v>1561689</v>
      </c>
      <c r="O701">
        <v>40804</v>
      </c>
      <c r="P701">
        <v>1520885</v>
      </c>
      <c r="Q701" s="1" t="s">
        <v>78</v>
      </c>
      <c r="R701" s="1" t="s">
        <v>48</v>
      </c>
      <c r="S701" s="1" t="s">
        <v>37</v>
      </c>
      <c r="T701" s="1" t="s">
        <v>36</v>
      </c>
      <c r="U701">
        <v>3.8</v>
      </c>
      <c r="V701" t="s">
        <v>38</v>
      </c>
      <c r="W701">
        <v>3</v>
      </c>
      <c r="X701" s="1" t="s">
        <v>96</v>
      </c>
    </row>
    <row r="702" spans="1:24" x14ac:dyDescent="0.55000000000000004">
      <c r="A702" s="1" t="s">
        <v>786</v>
      </c>
      <c r="B702" s="1" t="s">
        <v>105</v>
      </c>
      <c r="C702">
        <v>42</v>
      </c>
      <c r="D702" s="1" t="s">
        <v>26</v>
      </c>
      <c r="E702" s="1" t="s">
        <v>43</v>
      </c>
      <c r="F702" s="1" t="s">
        <v>44</v>
      </c>
      <c r="G702" s="1" t="s">
        <v>29</v>
      </c>
      <c r="H702" s="1" t="s">
        <v>30</v>
      </c>
      <c r="I702" s="1" t="s">
        <v>59</v>
      </c>
      <c r="J702" s="1" t="s">
        <v>32</v>
      </c>
      <c r="K702" s="1" t="s">
        <v>33</v>
      </c>
      <c r="L702" s="2">
        <v>45955</v>
      </c>
      <c r="M702" s="2">
        <v>45963</v>
      </c>
      <c r="N702">
        <v>1700510</v>
      </c>
      <c r="O702">
        <v>53913</v>
      </c>
      <c r="P702">
        <v>1646597</v>
      </c>
      <c r="Q702" s="1" t="s">
        <v>47</v>
      </c>
      <c r="R702" s="1" t="s">
        <v>35</v>
      </c>
      <c r="S702" s="1" t="s">
        <v>36</v>
      </c>
      <c r="T702" s="1" t="s">
        <v>36</v>
      </c>
      <c r="U702">
        <v>4</v>
      </c>
      <c r="V702" t="s">
        <v>91</v>
      </c>
      <c r="W702">
        <v>11</v>
      </c>
      <c r="X702" s="1" t="s">
        <v>60</v>
      </c>
    </row>
    <row r="703" spans="1:24" x14ac:dyDescent="0.55000000000000004">
      <c r="A703" s="1" t="s">
        <v>787</v>
      </c>
      <c r="B703" s="1" t="s">
        <v>93</v>
      </c>
      <c r="C703">
        <v>34</v>
      </c>
      <c r="D703" s="1" t="s">
        <v>26</v>
      </c>
      <c r="E703" s="1" t="s">
        <v>71</v>
      </c>
      <c r="F703" s="1" t="s">
        <v>72</v>
      </c>
      <c r="G703" s="1" t="s">
        <v>29</v>
      </c>
      <c r="H703" s="1" t="s">
        <v>65</v>
      </c>
      <c r="I703" s="1" t="s">
        <v>59</v>
      </c>
      <c r="J703" s="1" t="s">
        <v>54</v>
      </c>
      <c r="K703" s="1" t="s">
        <v>33</v>
      </c>
      <c r="L703" s="2">
        <v>45732</v>
      </c>
      <c r="M703" s="2">
        <v>45765</v>
      </c>
      <c r="N703">
        <v>1323738</v>
      </c>
      <c r="O703">
        <v>95511</v>
      </c>
      <c r="P703">
        <v>1228227</v>
      </c>
      <c r="Q703" s="1" t="s">
        <v>66</v>
      </c>
      <c r="R703" s="1" t="s">
        <v>67</v>
      </c>
      <c r="S703" s="1" t="s">
        <v>37</v>
      </c>
      <c r="T703" s="1" t="s">
        <v>36</v>
      </c>
      <c r="U703">
        <v>3.6</v>
      </c>
      <c r="V703" t="s">
        <v>38</v>
      </c>
      <c r="W703">
        <v>4</v>
      </c>
      <c r="X703" s="1" t="s">
        <v>63</v>
      </c>
    </row>
    <row r="704" spans="1:24" x14ac:dyDescent="0.55000000000000004">
      <c r="A704" s="1" t="s">
        <v>788</v>
      </c>
      <c r="B704" s="1" t="s">
        <v>70</v>
      </c>
      <c r="C704">
        <v>37</v>
      </c>
      <c r="D704" s="1" t="s">
        <v>26</v>
      </c>
      <c r="E704" s="1" t="s">
        <v>27</v>
      </c>
      <c r="F704" s="1" t="s">
        <v>28</v>
      </c>
      <c r="G704" s="1" t="s">
        <v>29</v>
      </c>
      <c r="H704" s="1" t="s">
        <v>30</v>
      </c>
      <c r="I704" s="1" t="s">
        <v>45</v>
      </c>
      <c r="J704" s="1" t="s">
        <v>32</v>
      </c>
      <c r="K704" s="1" t="s">
        <v>46</v>
      </c>
      <c r="L704" s="2">
        <v>45971</v>
      </c>
      <c r="M704" s="2">
        <v>45992</v>
      </c>
      <c r="N704">
        <v>1701310</v>
      </c>
      <c r="O704">
        <v>74850</v>
      </c>
      <c r="P704">
        <v>1626460</v>
      </c>
      <c r="Q704" s="1" t="s">
        <v>66</v>
      </c>
      <c r="R704" s="1" t="s">
        <v>109</v>
      </c>
      <c r="S704" s="1" t="s">
        <v>36</v>
      </c>
      <c r="T704" s="1" t="s">
        <v>36</v>
      </c>
      <c r="U704">
        <v>3.9</v>
      </c>
      <c r="V704" t="s">
        <v>38</v>
      </c>
      <c r="W704">
        <v>12</v>
      </c>
      <c r="X704" s="1" t="s">
        <v>49</v>
      </c>
    </row>
    <row r="705" spans="1:24" x14ac:dyDescent="0.55000000000000004">
      <c r="A705" s="1" t="s">
        <v>789</v>
      </c>
      <c r="B705" s="1" t="s">
        <v>98</v>
      </c>
      <c r="C705">
        <v>23</v>
      </c>
      <c r="D705" s="1" t="s">
        <v>26</v>
      </c>
      <c r="E705" s="1" t="s">
        <v>71</v>
      </c>
      <c r="F705" s="1" t="s">
        <v>72</v>
      </c>
      <c r="G705" s="1" t="s">
        <v>29</v>
      </c>
      <c r="H705" s="1" t="s">
        <v>30</v>
      </c>
      <c r="I705" s="1" t="s">
        <v>59</v>
      </c>
      <c r="J705" s="1" t="s">
        <v>54</v>
      </c>
      <c r="K705" s="1" t="s">
        <v>33</v>
      </c>
      <c r="L705" s="2">
        <v>45951</v>
      </c>
      <c r="M705" s="2">
        <v>45961</v>
      </c>
      <c r="N705">
        <v>1518865</v>
      </c>
      <c r="O705">
        <v>52764</v>
      </c>
      <c r="P705">
        <v>1466101</v>
      </c>
      <c r="Q705" s="1" t="s">
        <v>66</v>
      </c>
      <c r="R705" s="1" t="s">
        <v>67</v>
      </c>
      <c r="S705" s="1" t="s">
        <v>37</v>
      </c>
      <c r="T705" s="1" t="s">
        <v>37</v>
      </c>
      <c r="U705">
        <v>3.7</v>
      </c>
      <c r="V705" t="s">
        <v>91</v>
      </c>
      <c r="W705">
        <v>10</v>
      </c>
      <c r="X705" s="1" t="s">
        <v>75</v>
      </c>
    </row>
    <row r="706" spans="1:24" x14ac:dyDescent="0.55000000000000004">
      <c r="A706" s="1" t="s">
        <v>790</v>
      </c>
      <c r="B706" s="1" t="s">
        <v>81</v>
      </c>
      <c r="C706">
        <v>56</v>
      </c>
      <c r="D706" s="1" t="s">
        <v>26</v>
      </c>
      <c r="E706" s="1" t="s">
        <v>52</v>
      </c>
      <c r="F706" s="1" t="s">
        <v>44</v>
      </c>
      <c r="G706" s="1" t="s">
        <v>29</v>
      </c>
      <c r="H706" s="1" t="s">
        <v>77</v>
      </c>
      <c r="I706" s="1" t="s">
        <v>59</v>
      </c>
      <c r="J706" s="1" t="s">
        <v>54</v>
      </c>
      <c r="K706" s="1" t="s">
        <v>33</v>
      </c>
      <c r="L706" s="2">
        <v>46121</v>
      </c>
      <c r="M706" s="2">
        <v>46152</v>
      </c>
      <c r="N706">
        <v>1884262</v>
      </c>
      <c r="O706">
        <v>44058</v>
      </c>
      <c r="P706">
        <v>1840204</v>
      </c>
      <c r="Q706" s="1" t="s">
        <v>47</v>
      </c>
      <c r="R706" s="1" t="s">
        <v>79</v>
      </c>
      <c r="S706" s="1" t="s">
        <v>37</v>
      </c>
      <c r="T706" s="1" t="s">
        <v>36</v>
      </c>
      <c r="U706">
        <v>5</v>
      </c>
      <c r="V706" t="s">
        <v>38</v>
      </c>
      <c r="W706">
        <v>5</v>
      </c>
      <c r="X706" s="1" t="s">
        <v>86</v>
      </c>
    </row>
    <row r="707" spans="1:24" x14ac:dyDescent="0.55000000000000004">
      <c r="A707" s="1" t="s">
        <v>791</v>
      </c>
      <c r="B707" s="1" t="s">
        <v>81</v>
      </c>
      <c r="C707">
        <v>47</v>
      </c>
      <c r="D707" s="1" t="s">
        <v>26</v>
      </c>
      <c r="E707" s="1" t="s">
        <v>27</v>
      </c>
      <c r="F707" s="1" t="s">
        <v>28</v>
      </c>
      <c r="G707" s="1" t="s">
        <v>29</v>
      </c>
      <c r="H707" s="1" t="s">
        <v>65</v>
      </c>
      <c r="I707" s="1" t="s">
        <v>59</v>
      </c>
      <c r="J707" s="1" t="s">
        <v>54</v>
      </c>
      <c r="K707" s="1" t="s">
        <v>46</v>
      </c>
      <c r="L707" s="2">
        <v>45971</v>
      </c>
      <c r="M707" s="2">
        <v>46007</v>
      </c>
      <c r="N707">
        <v>1637115</v>
      </c>
      <c r="O707">
        <v>68282</v>
      </c>
      <c r="P707">
        <v>1568833</v>
      </c>
      <c r="Q707" s="1" t="s">
        <v>78</v>
      </c>
      <c r="R707" s="1" t="s">
        <v>48</v>
      </c>
      <c r="S707" s="1" t="s">
        <v>36</v>
      </c>
      <c r="T707" s="1" t="s">
        <v>37</v>
      </c>
      <c r="U707">
        <v>3.1</v>
      </c>
      <c r="V707" t="s">
        <v>38</v>
      </c>
      <c r="W707">
        <v>12</v>
      </c>
      <c r="X707" s="1" t="s">
        <v>49</v>
      </c>
    </row>
    <row r="708" spans="1:24" x14ac:dyDescent="0.55000000000000004">
      <c r="A708" s="1" t="s">
        <v>792</v>
      </c>
      <c r="B708" s="1" t="s">
        <v>62</v>
      </c>
      <c r="C708">
        <v>59</v>
      </c>
      <c r="D708" s="1" t="s">
        <v>42</v>
      </c>
      <c r="E708" s="1" t="s">
        <v>43</v>
      </c>
      <c r="F708" s="1" t="s">
        <v>44</v>
      </c>
      <c r="G708" s="1" t="s">
        <v>29</v>
      </c>
      <c r="H708" s="1" t="s">
        <v>77</v>
      </c>
      <c r="I708" s="1" t="s">
        <v>45</v>
      </c>
      <c r="J708" s="1" t="s">
        <v>32</v>
      </c>
      <c r="K708" s="1" t="s">
        <v>46</v>
      </c>
      <c r="L708" s="2">
        <v>45841</v>
      </c>
      <c r="M708" s="2">
        <v>45883</v>
      </c>
      <c r="N708">
        <v>1655973</v>
      </c>
      <c r="O708">
        <v>22531</v>
      </c>
      <c r="P708">
        <v>1633442</v>
      </c>
      <c r="Q708" s="1" t="s">
        <v>55</v>
      </c>
      <c r="R708" s="1" t="s">
        <v>48</v>
      </c>
      <c r="S708" s="1" t="s">
        <v>36</v>
      </c>
      <c r="T708" s="1" t="s">
        <v>36</v>
      </c>
      <c r="U708">
        <v>5</v>
      </c>
      <c r="V708" t="s">
        <v>38</v>
      </c>
      <c r="W708">
        <v>8</v>
      </c>
      <c r="X708" s="1" t="s">
        <v>57</v>
      </c>
    </row>
    <row r="709" spans="1:24" x14ac:dyDescent="0.55000000000000004">
      <c r="A709" s="1" t="s">
        <v>793</v>
      </c>
      <c r="B709" s="1" t="s">
        <v>62</v>
      </c>
      <c r="C709">
        <v>41</v>
      </c>
      <c r="D709" s="1" t="s">
        <v>26</v>
      </c>
      <c r="E709" s="1" t="s">
        <v>84</v>
      </c>
      <c r="F709" s="1" t="s">
        <v>85</v>
      </c>
      <c r="G709" s="1" t="s">
        <v>29</v>
      </c>
      <c r="H709" s="1" t="s">
        <v>30</v>
      </c>
      <c r="I709" s="1" t="s">
        <v>74</v>
      </c>
      <c r="J709" s="1" t="s">
        <v>32</v>
      </c>
      <c r="K709" s="1" t="s">
        <v>46</v>
      </c>
      <c r="L709" s="2">
        <v>46096</v>
      </c>
      <c r="M709" s="2">
        <v>46125</v>
      </c>
      <c r="N709">
        <v>1358152</v>
      </c>
      <c r="O709">
        <v>92243</v>
      </c>
      <c r="P709">
        <v>1265909</v>
      </c>
      <c r="Q709" s="1" t="s">
        <v>47</v>
      </c>
      <c r="R709" s="1" t="s">
        <v>79</v>
      </c>
      <c r="S709" s="1" t="s">
        <v>36</v>
      </c>
      <c r="T709" s="1" t="s">
        <v>36</v>
      </c>
      <c r="U709">
        <v>3.9</v>
      </c>
      <c r="V709" t="s">
        <v>38</v>
      </c>
      <c r="W709">
        <v>4</v>
      </c>
      <c r="X709" s="1" t="s">
        <v>63</v>
      </c>
    </row>
    <row r="710" spans="1:24" x14ac:dyDescent="0.55000000000000004">
      <c r="A710" s="1" t="s">
        <v>794</v>
      </c>
      <c r="B710" s="1" t="s">
        <v>93</v>
      </c>
      <c r="C710">
        <v>24</v>
      </c>
      <c r="D710" s="1" t="s">
        <v>42</v>
      </c>
      <c r="E710" s="1" t="s">
        <v>43</v>
      </c>
      <c r="F710" s="1" t="s">
        <v>44</v>
      </c>
      <c r="G710" s="1" t="s">
        <v>29</v>
      </c>
      <c r="H710" s="1" t="s">
        <v>65</v>
      </c>
      <c r="I710" s="1" t="s">
        <v>74</v>
      </c>
      <c r="J710" s="1" t="s">
        <v>32</v>
      </c>
      <c r="K710" s="1" t="s">
        <v>33</v>
      </c>
      <c r="L710" s="2">
        <v>45845</v>
      </c>
      <c r="M710" s="2">
        <v>45853</v>
      </c>
      <c r="N710">
        <v>1348009</v>
      </c>
      <c r="O710">
        <v>68009</v>
      </c>
      <c r="P710">
        <v>1280000</v>
      </c>
      <c r="Q710" s="1" t="s">
        <v>47</v>
      </c>
      <c r="R710" s="1" t="s">
        <v>67</v>
      </c>
      <c r="S710" s="1" t="s">
        <v>36</v>
      </c>
      <c r="T710" s="1" t="s">
        <v>36</v>
      </c>
      <c r="U710">
        <v>4.5999999999999996</v>
      </c>
      <c r="V710" t="s">
        <v>91</v>
      </c>
      <c r="W710">
        <v>7</v>
      </c>
      <c r="X710" s="1" t="s">
        <v>39</v>
      </c>
    </row>
    <row r="711" spans="1:24" x14ac:dyDescent="0.55000000000000004">
      <c r="A711" s="1" t="s">
        <v>795</v>
      </c>
      <c r="B711" s="1" t="s">
        <v>93</v>
      </c>
      <c r="C711">
        <v>42</v>
      </c>
      <c r="D711" s="1" t="s">
        <v>42</v>
      </c>
      <c r="E711" s="1" t="s">
        <v>71</v>
      </c>
      <c r="F711" s="1" t="s">
        <v>72</v>
      </c>
      <c r="G711" s="1" t="s">
        <v>29</v>
      </c>
      <c r="H711" s="1" t="s">
        <v>77</v>
      </c>
      <c r="I711" s="1" t="s">
        <v>59</v>
      </c>
      <c r="J711" s="1" t="s">
        <v>32</v>
      </c>
      <c r="K711" s="1" t="s">
        <v>33</v>
      </c>
      <c r="L711" s="2">
        <v>45863</v>
      </c>
      <c r="M711" s="2">
        <v>45889</v>
      </c>
      <c r="N711">
        <v>1763672</v>
      </c>
      <c r="O711">
        <v>27342</v>
      </c>
      <c r="P711">
        <v>1736330</v>
      </c>
      <c r="Q711" s="1" t="s">
        <v>55</v>
      </c>
      <c r="R711" s="1" t="s">
        <v>109</v>
      </c>
      <c r="S711" s="1" t="s">
        <v>37</v>
      </c>
      <c r="T711" s="1" t="s">
        <v>36</v>
      </c>
      <c r="U711">
        <v>3.1</v>
      </c>
      <c r="V711" t="s">
        <v>38</v>
      </c>
      <c r="W711">
        <v>8</v>
      </c>
      <c r="X711" s="1" t="s">
        <v>57</v>
      </c>
    </row>
    <row r="712" spans="1:24" x14ac:dyDescent="0.55000000000000004">
      <c r="A712" s="1" t="s">
        <v>796</v>
      </c>
      <c r="B712" s="1" t="s">
        <v>41</v>
      </c>
      <c r="C712">
        <v>54</v>
      </c>
      <c r="D712" s="1" t="s">
        <v>42</v>
      </c>
      <c r="E712" s="1" t="s">
        <v>43</v>
      </c>
      <c r="F712" s="1" t="s">
        <v>44</v>
      </c>
      <c r="G712" s="1" t="s">
        <v>29</v>
      </c>
      <c r="H712" s="1" t="s">
        <v>30</v>
      </c>
      <c r="I712" s="1" t="s">
        <v>45</v>
      </c>
      <c r="J712" s="1" t="s">
        <v>54</v>
      </c>
      <c r="K712" s="1" t="s">
        <v>33</v>
      </c>
      <c r="L712" s="2">
        <v>45928</v>
      </c>
      <c r="M712" s="2">
        <v>45957</v>
      </c>
      <c r="N712">
        <v>1671642</v>
      </c>
      <c r="O712">
        <v>28964</v>
      </c>
      <c r="P712">
        <v>1642678</v>
      </c>
      <c r="Q712" s="1" t="s">
        <v>47</v>
      </c>
      <c r="R712" s="1" t="s">
        <v>48</v>
      </c>
      <c r="S712" s="1" t="s">
        <v>36</v>
      </c>
      <c r="T712" s="1" t="s">
        <v>37</v>
      </c>
      <c r="U712">
        <v>3.1</v>
      </c>
      <c r="V712" t="s">
        <v>38</v>
      </c>
      <c r="W712">
        <v>10</v>
      </c>
      <c r="X712" s="1" t="s">
        <v>75</v>
      </c>
    </row>
    <row r="713" spans="1:24" x14ac:dyDescent="0.55000000000000004">
      <c r="A713" s="1" t="s">
        <v>797</v>
      </c>
      <c r="B713" s="1" t="s">
        <v>93</v>
      </c>
      <c r="C713">
        <v>58</v>
      </c>
      <c r="D713" s="1" t="s">
        <v>42</v>
      </c>
      <c r="E713" s="1" t="s">
        <v>27</v>
      </c>
      <c r="F713" s="1" t="s">
        <v>28</v>
      </c>
      <c r="G713" s="1" t="s">
        <v>29</v>
      </c>
      <c r="H713" s="1" t="s">
        <v>77</v>
      </c>
      <c r="I713" s="1" t="s">
        <v>31</v>
      </c>
      <c r="J713" s="1" t="s">
        <v>54</v>
      </c>
      <c r="K713" s="1" t="s">
        <v>33</v>
      </c>
      <c r="L713" s="2">
        <v>45759</v>
      </c>
      <c r="M713" s="2">
        <v>45793</v>
      </c>
      <c r="N713">
        <v>1479723</v>
      </c>
      <c r="O713">
        <v>94825</v>
      </c>
      <c r="P713">
        <v>1384898</v>
      </c>
      <c r="Q713" s="1" t="s">
        <v>66</v>
      </c>
      <c r="R713" s="1" t="s">
        <v>79</v>
      </c>
      <c r="S713" s="1" t="s">
        <v>36</v>
      </c>
      <c r="T713" s="1" t="s">
        <v>37</v>
      </c>
      <c r="U713">
        <v>3.9</v>
      </c>
      <c r="V713" t="s">
        <v>38</v>
      </c>
      <c r="W713">
        <v>5</v>
      </c>
      <c r="X713" s="1" t="s">
        <v>86</v>
      </c>
    </row>
    <row r="714" spans="1:24" x14ac:dyDescent="0.55000000000000004">
      <c r="A714" s="1" t="s">
        <v>798</v>
      </c>
      <c r="B714" s="1" t="s">
        <v>81</v>
      </c>
      <c r="C714">
        <v>47</v>
      </c>
      <c r="D714" s="1" t="s">
        <v>42</v>
      </c>
      <c r="E714" s="1" t="s">
        <v>52</v>
      </c>
      <c r="F714" s="1" t="s">
        <v>44</v>
      </c>
      <c r="G714" s="1" t="s">
        <v>29</v>
      </c>
      <c r="H714" s="1" t="s">
        <v>65</v>
      </c>
      <c r="I714" s="1" t="s">
        <v>31</v>
      </c>
      <c r="J714" s="1" t="s">
        <v>32</v>
      </c>
      <c r="K714" s="1" t="s">
        <v>46</v>
      </c>
      <c r="L714" s="2">
        <v>45979</v>
      </c>
      <c r="M714" s="2">
        <v>46021</v>
      </c>
      <c r="N714">
        <v>1865999</v>
      </c>
      <c r="O714">
        <v>81301</v>
      </c>
      <c r="P714">
        <v>1784698</v>
      </c>
      <c r="Q714" s="1" t="s">
        <v>47</v>
      </c>
      <c r="R714" s="1" t="s">
        <v>48</v>
      </c>
      <c r="S714" s="1" t="s">
        <v>37</v>
      </c>
      <c r="T714" s="1" t="s">
        <v>37</v>
      </c>
      <c r="U714">
        <v>4.7</v>
      </c>
      <c r="V714" t="s">
        <v>38</v>
      </c>
      <c r="W714">
        <v>12</v>
      </c>
      <c r="X714" s="1" t="s">
        <v>49</v>
      </c>
    </row>
    <row r="715" spans="1:24" x14ac:dyDescent="0.55000000000000004">
      <c r="A715" s="1" t="s">
        <v>799</v>
      </c>
      <c r="B715" s="1" t="s">
        <v>41</v>
      </c>
      <c r="C715">
        <v>51</v>
      </c>
      <c r="D715" s="1" t="s">
        <v>26</v>
      </c>
      <c r="E715" s="1" t="s">
        <v>90</v>
      </c>
      <c r="F715" s="1" t="s">
        <v>44</v>
      </c>
      <c r="G715" s="1" t="s">
        <v>29</v>
      </c>
      <c r="H715" s="1" t="s">
        <v>65</v>
      </c>
      <c r="I715" s="1" t="s">
        <v>31</v>
      </c>
      <c r="J715" s="1" t="s">
        <v>54</v>
      </c>
      <c r="K715" s="1" t="s">
        <v>46</v>
      </c>
      <c r="L715" s="2">
        <v>45659</v>
      </c>
      <c r="M715" s="2">
        <v>45684</v>
      </c>
      <c r="N715">
        <v>1483849</v>
      </c>
      <c r="O715">
        <v>99810</v>
      </c>
      <c r="P715">
        <v>1384039</v>
      </c>
      <c r="Q715" s="1" t="s">
        <v>55</v>
      </c>
      <c r="R715" s="1" t="s">
        <v>48</v>
      </c>
      <c r="S715" s="1" t="s">
        <v>36</v>
      </c>
      <c r="T715" s="1" t="s">
        <v>36</v>
      </c>
      <c r="U715">
        <v>3.4</v>
      </c>
      <c r="V715" t="s">
        <v>38</v>
      </c>
      <c r="W715">
        <v>1</v>
      </c>
      <c r="X715" s="1" t="s">
        <v>88</v>
      </c>
    </row>
    <row r="716" spans="1:24" x14ac:dyDescent="0.55000000000000004">
      <c r="A716" s="1" t="s">
        <v>800</v>
      </c>
      <c r="B716" s="1" t="s">
        <v>25</v>
      </c>
      <c r="C716">
        <v>58</v>
      </c>
      <c r="D716" s="1" t="s">
        <v>42</v>
      </c>
      <c r="E716" s="1" t="s">
        <v>90</v>
      </c>
      <c r="F716" s="1" t="s">
        <v>44</v>
      </c>
      <c r="G716" s="1" t="s">
        <v>29</v>
      </c>
      <c r="H716" s="1" t="s">
        <v>77</v>
      </c>
      <c r="I716" s="1" t="s">
        <v>31</v>
      </c>
      <c r="J716" s="1" t="s">
        <v>32</v>
      </c>
      <c r="K716" s="1" t="s">
        <v>46</v>
      </c>
      <c r="L716" s="2">
        <v>45709</v>
      </c>
      <c r="M716" s="2">
        <v>45730</v>
      </c>
      <c r="N716">
        <v>1683015</v>
      </c>
      <c r="O716">
        <v>45934</v>
      </c>
      <c r="P716">
        <v>1637081</v>
      </c>
      <c r="Q716" s="1" t="s">
        <v>55</v>
      </c>
      <c r="R716" s="1" t="s">
        <v>48</v>
      </c>
      <c r="S716" s="1" t="s">
        <v>37</v>
      </c>
      <c r="T716" s="1" t="s">
        <v>36</v>
      </c>
      <c r="U716">
        <v>3.9</v>
      </c>
      <c r="V716" t="s">
        <v>38</v>
      </c>
      <c r="W716">
        <v>3</v>
      </c>
      <c r="X716" s="1" t="s">
        <v>96</v>
      </c>
    </row>
    <row r="717" spans="1:24" x14ac:dyDescent="0.55000000000000004">
      <c r="A717" s="1" t="s">
        <v>801</v>
      </c>
      <c r="B717" s="1" t="s">
        <v>83</v>
      </c>
      <c r="C717">
        <v>51</v>
      </c>
      <c r="D717" s="1" t="s">
        <v>26</v>
      </c>
      <c r="E717" s="1" t="s">
        <v>27</v>
      </c>
      <c r="F717" s="1" t="s">
        <v>28</v>
      </c>
      <c r="G717" s="1" t="s">
        <v>29</v>
      </c>
      <c r="H717" s="1" t="s">
        <v>77</v>
      </c>
      <c r="I717" s="1" t="s">
        <v>53</v>
      </c>
      <c r="J717" s="1" t="s">
        <v>54</v>
      </c>
      <c r="K717" s="1" t="s">
        <v>33</v>
      </c>
      <c r="L717" s="2">
        <v>46095</v>
      </c>
      <c r="M717" s="2">
        <v>46110</v>
      </c>
      <c r="N717">
        <v>1558716</v>
      </c>
      <c r="O717">
        <v>22392</v>
      </c>
      <c r="P717">
        <v>1536324</v>
      </c>
      <c r="Q717" s="1" t="s">
        <v>55</v>
      </c>
      <c r="R717" s="1" t="s">
        <v>48</v>
      </c>
      <c r="S717" s="1" t="s">
        <v>36</v>
      </c>
      <c r="T717" s="1" t="s">
        <v>37</v>
      </c>
      <c r="U717">
        <v>3.3</v>
      </c>
      <c r="V717" t="s">
        <v>56</v>
      </c>
      <c r="W717">
        <v>3</v>
      </c>
      <c r="X717" s="1" t="s">
        <v>96</v>
      </c>
    </row>
    <row r="718" spans="1:24" x14ac:dyDescent="0.55000000000000004">
      <c r="A718" s="1" t="s">
        <v>802</v>
      </c>
      <c r="B718" s="1" t="s">
        <v>98</v>
      </c>
      <c r="C718">
        <v>22</v>
      </c>
      <c r="D718" s="1" t="s">
        <v>26</v>
      </c>
      <c r="E718" s="1" t="s">
        <v>71</v>
      </c>
      <c r="F718" s="1" t="s">
        <v>72</v>
      </c>
      <c r="G718" s="1" t="s">
        <v>29</v>
      </c>
      <c r="H718" s="1" t="s">
        <v>30</v>
      </c>
      <c r="I718" s="1" t="s">
        <v>59</v>
      </c>
      <c r="J718" s="1" t="s">
        <v>32</v>
      </c>
      <c r="K718" s="1" t="s">
        <v>46</v>
      </c>
      <c r="L718" s="2">
        <v>45675</v>
      </c>
      <c r="M718" s="2">
        <v>45702</v>
      </c>
      <c r="N718">
        <v>1815512</v>
      </c>
      <c r="O718">
        <v>31749</v>
      </c>
      <c r="P718">
        <v>1783763</v>
      </c>
      <c r="Q718" s="1" t="s">
        <v>55</v>
      </c>
      <c r="R718" s="1" t="s">
        <v>67</v>
      </c>
      <c r="S718" s="1" t="s">
        <v>36</v>
      </c>
      <c r="T718" s="1" t="s">
        <v>37</v>
      </c>
      <c r="U718">
        <v>3.9</v>
      </c>
      <c r="V718" t="s">
        <v>38</v>
      </c>
      <c r="W718">
        <v>2</v>
      </c>
      <c r="X718" s="1" t="s">
        <v>107</v>
      </c>
    </row>
    <row r="719" spans="1:24" x14ac:dyDescent="0.55000000000000004">
      <c r="A719" s="1" t="s">
        <v>803</v>
      </c>
      <c r="B719" s="1" t="s">
        <v>93</v>
      </c>
      <c r="C719">
        <v>51</v>
      </c>
      <c r="D719" s="1" t="s">
        <v>42</v>
      </c>
      <c r="E719" s="1" t="s">
        <v>90</v>
      </c>
      <c r="F719" s="1" t="s">
        <v>44</v>
      </c>
      <c r="G719" s="1" t="s">
        <v>29</v>
      </c>
      <c r="H719" s="1" t="s">
        <v>65</v>
      </c>
      <c r="I719" s="1" t="s">
        <v>53</v>
      </c>
      <c r="J719" s="1" t="s">
        <v>32</v>
      </c>
      <c r="K719" s="1" t="s">
        <v>46</v>
      </c>
      <c r="L719" s="2">
        <v>45812</v>
      </c>
      <c r="M719" s="2">
        <v>45838</v>
      </c>
      <c r="N719">
        <v>1528211</v>
      </c>
      <c r="O719">
        <v>62244</v>
      </c>
      <c r="P719">
        <v>1465967</v>
      </c>
      <c r="Q719" s="1" t="s">
        <v>55</v>
      </c>
      <c r="R719" s="1" t="s">
        <v>79</v>
      </c>
      <c r="S719" s="1" t="s">
        <v>37</v>
      </c>
      <c r="T719" s="1" t="s">
        <v>37</v>
      </c>
      <c r="U719">
        <v>4.7</v>
      </c>
      <c r="V719" t="s">
        <v>38</v>
      </c>
      <c r="W719">
        <v>6</v>
      </c>
      <c r="X719" s="1" t="s">
        <v>68</v>
      </c>
    </row>
    <row r="720" spans="1:24" x14ac:dyDescent="0.55000000000000004">
      <c r="A720" s="1" t="s">
        <v>804</v>
      </c>
      <c r="B720" s="1" t="s">
        <v>98</v>
      </c>
      <c r="C720">
        <v>39</v>
      </c>
      <c r="D720" s="1" t="s">
        <v>42</v>
      </c>
      <c r="E720" s="1" t="s">
        <v>71</v>
      </c>
      <c r="F720" s="1" t="s">
        <v>72</v>
      </c>
      <c r="G720" s="1" t="s">
        <v>29</v>
      </c>
      <c r="H720" s="1" t="s">
        <v>77</v>
      </c>
      <c r="I720" s="1" t="s">
        <v>31</v>
      </c>
      <c r="J720" s="1" t="s">
        <v>32</v>
      </c>
      <c r="K720" s="1" t="s">
        <v>33</v>
      </c>
      <c r="L720" s="2">
        <v>45946</v>
      </c>
      <c r="M720" s="2">
        <v>45986</v>
      </c>
      <c r="N720">
        <v>1530061</v>
      </c>
      <c r="O720">
        <v>82491</v>
      </c>
      <c r="P720">
        <v>1447570</v>
      </c>
      <c r="Q720" s="1" t="s">
        <v>55</v>
      </c>
      <c r="R720" s="1" t="s">
        <v>35</v>
      </c>
      <c r="S720" s="1" t="s">
        <v>36</v>
      </c>
      <c r="T720" s="1" t="s">
        <v>36</v>
      </c>
      <c r="U720">
        <v>4.9000000000000004</v>
      </c>
      <c r="V720" t="s">
        <v>38</v>
      </c>
      <c r="W720">
        <v>11</v>
      </c>
      <c r="X720" s="1" t="s">
        <v>60</v>
      </c>
    </row>
    <row r="721" spans="1:24" x14ac:dyDescent="0.55000000000000004">
      <c r="A721" s="1" t="s">
        <v>805</v>
      </c>
      <c r="B721" s="1" t="s">
        <v>93</v>
      </c>
      <c r="C721">
        <v>31</v>
      </c>
      <c r="D721" s="1" t="s">
        <v>42</v>
      </c>
      <c r="E721" s="1" t="s">
        <v>52</v>
      </c>
      <c r="F721" s="1" t="s">
        <v>44</v>
      </c>
      <c r="G721" s="1" t="s">
        <v>29</v>
      </c>
      <c r="H721" s="1" t="s">
        <v>30</v>
      </c>
      <c r="I721" s="1" t="s">
        <v>53</v>
      </c>
      <c r="J721" s="1" t="s">
        <v>54</v>
      </c>
      <c r="K721" s="1" t="s">
        <v>46</v>
      </c>
      <c r="L721" s="2">
        <v>45666</v>
      </c>
      <c r="M721" s="2">
        <v>45676</v>
      </c>
      <c r="N721">
        <v>1497307</v>
      </c>
      <c r="O721">
        <v>84934</v>
      </c>
      <c r="P721">
        <v>1412373</v>
      </c>
      <c r="Q721" s="1" t="s">
        <v>78</v>
      </c>
      <c r="R721" s="1" t="s">
        <v>109</v>
      </c>
      <c r="S721" s="1" t="s">
        <v>37</v>
      </c>
      <c r="T721" s="1" t="s">
        <v>37</v>
      </c>
      <c r="U721">
        <v>4.5999999999999996</v>
      </c>
      <c r="V721" t="s">
        <v>91</v>
      </c>
      <c r="W721">
        <v>1</v>
      </c>
      <c r="X721" s="1" t="s">
        <v>88</v>
      </c>
    </row>
    <row r="722" spans="1:24" x14ac:dyDescent="0.55000000000000004">
      <c r="A722" s="1" t="s">
        <v>806</v>
      </c>
      <c r="B722" s="1" t="s">
        <v>98</v>
      </c>
      <c r="C722">
        <v>50</v>
      </c>
      <c r="D722" s="1" t="s">
        <v>26</v>
      </c>
      <c r="E722" s="1" t="s">
        <v>27</v>
      </c>
      <c r="F722" s="1" t="s">
        <v>28</v>
      </c>
      <c r="G722" s="1" t="s">
        <v>29</v>
      </c>
      <c r="H722" s="1" t="s">
        <v>65</v>
      </c>
      <c r="I722" s="1" t="s">
        <v>53</v>
      </c>
      <c r="J722" s="1" t="s">
        <v>54</v>
      </c>
      <c r="K722" s="1" t="s">
        <v>33</v>
      </c>
      <c r="L722" s="2">
        <v>45845</v>
      </c>
      <c r="M722" s="2">
        <v>45861</v>
      </c>
      <c r="N722">
        <v>1629031</v>
      </c>
      <c r="O722">
        <v>27208</v>
      </c>
      <c r="P722">
        <v>1601823</v>
      </c>
      <c r="Q722" s="1" t="s">
        <v>66</v>
      </c>
      <c r="R722" s="1" t="s">
        <v>48</v>
      </c>
      <c r="S722" s="1" t="s">
        <v>36</v>
      </c>
      <c r="T722" s="1" t="s">
        <v>37</v>
      </c>
      <c r="U722">
        <v>4.7</v>
      </c>
      <c r="V722" t="s">
        <v>56</v>
      </c>
      <c r="W722">
        <v>7</v>
      </c>
      <c r="X722" s="1" t="s">
        <v>39</v>
      </c>
    </row>
    <row r="723" spans="1:24" x14ac:dyDescent="0.55000000000000004">
      <c r="A723" s="1" t="s">
        <v>807</v>
      </c>
      <c r="B723" s="1" t="s">
        <v>41</v>
      </c>
      <c r="C723">
        <v>53</v>
      </c>
      <c r="D723" s="1" t="s">
        <v>26</v>
      </c>
      <c r="E723" s="1" t="s">
        <v>52</v>
      </c>
      <c r="F723" s="1" t="s">
        <v>44</v>
      </c>
      <c r="G723" s="1" t="s">
        <v>29</v>
      </c>
      <c r="H723" s="1" t="s">
        <v>30</v>
      </c>
      <c r="I723" s="1" t="s">
        <v>59</v>
      </c>
      <c r="J723" s="1" t="s">
        <v>32</v>
      </c>
      <c r="K723" s="1" t="s">
        <v>46</v>
      </c>
      <c r="L723" s="2">
        <v>45928</v>
      </c>
      <c r="M723" s="2">
        <v>45970</v>
      </c>
      <c r="N723">
        <v>1508314</v>
      </c>
      <c r="O723">
        <v>45648</v>
      </c>
      <c r="P723">
        <v>1462666</v>
      </c>
      <c r="Q723" s="1" t="s">
        <v>78</v>
      </c>
      <c r="R723" s="1" t="s">
        <v>35</v>
      </c>
      <c r="S723" s="1" t="s">
        <v>37</v>
      </c>
      <c r="T723" s="1" t="s">
        <v>36</v>
      </c>
      <c r="U723">
        <v>4.7</v>
      </c>
      <c r="V723" t="s">
        <v>38</v>
      </c>
      <c r="W723">
        <v>11</v>
      </c>
      <c r="X723" s="1" t="s">
        <v>60</v>
      </c>
    </row>
    <row r="724" spans="1:24" x14ac:dyDescent="0.55000000000000004">
      <c r="A724" s="1" t="s">
        <v>808</v>
      </c>
      <c r="B724" s="1" t="s">
        <v>93</v>
      </c>
      <c r="C724">
        <v>42</v>
      </c>
      <c r="D724" s="1" t="s">
        <v>26</v>
      </c>
      <c r="E724" s="1" t="s">
        <v>90</v>
      </c>
      <c r="F724" s="1" t="s">
        <v>44</v>
      </c>
      <c r="G724" s="1" t="s">
        <v>29</v>
      </c>
      <c r="H724" s="1" t="s">
        <v>65</v>
      </c>
      <c r="I724" s="1" t="s">
        <v>45</v>
      </c>
      <c r="J724" s="1" t="s">
        <v>54</v>
      </c>
      <c r="K724" s="1" t="s">
        <v>33</v>
      </c>
      <c r="L724" s="2">
        <v>46043</v>
      </c>
      <c r="M724" s="2">
        <v>46066</v>
      </c>
      <c r="N724">
        <v>1325965</v>
      </c>
      <c r="O724">
        <v>35382</v>
      </c>
      <c r="P724">
        <v>1290583</v>
      </c>
      <c r="Q724" s="1" t="s">
        <v>34</v>
      </c>
      <c r="R724" s="1" t="s">
        <v>109</v>
      </c>
      <c r="S724" s="1" t="s">
        <v>37</v>
      </c>
      <c r="T724" s="1" t="s">
        <v>37</v>
      </c>
      <c r="U724">
        <v>4</v>
      </c>
      <c r="V724" t="s">
        <v>38</v>
      </c>
      <c r="W724">
        <v>2</v>
      </c>
      <c r="X724" s="1" t="s">
        <v>107</v>
      </c>
    </row>
    <row r="725" spans="1:24" x14ac:dyDescent="0.55000000000000004">
      <c r="A725" s="1" t="s">
        <v>809</v>
      </c>
      <c r="B725" s="1" t="s">
        <v>25</v>
      </c>
      <c r="C725">
        <v>43</v>
      </c>
      <c r="D725" s="1" t="s">
        <v>42</v>
      </c>
      <c r="E725" s="1" t="s">
        <v>27</v>
      </c>
      <c r="F725" s="1" t="s">
        <v>28</v>
      </c>
      <c r="G725" s="1" t="s">
        <v>29</v>
      </c>
      <c r="H725" s="1" t="s">
        <v>30</v>
      </c>
      <c r="I725" s="1" t="s">
        <v>74</v>
      </c>
      <c r="J725" s="1" t="s">
        <v>54</v>
      </c>
      <c r="K725" s="1" t="s">
        <v>33</v>
      </c>
      <c r="L725" s="2">
        <v>45872</v>
      </c>
      <c r="M725" s="2">
        <v>45914</v>
      </c>
      <c r="N725">
        <v>1525910</v>
      </c>
      <c r="O725">
        <v>31601</v>
      </c>
      <c r="P725">
        <v>1494309</v>
      </c>
      <c r="Q725" s="1" t="s">
        <v>55</v>
      </c>
      <c r="R725" s="1" t="s">
        <v>48</v>
      </c>
      <c r="S725" s="1" t="s">
        <v>37</v>
      </c>
      <c r="T725" s="1" t="s">
        <v>36</v>
      </c>
      <c r="U725">
        <v>3.3</v>
      </c>
      <c r="V725" t="s">
        <v>38</v>
      </c>
      <c r="W725">
        <v>9</v>
      </c>
      <c r="X725" s="1" t="s">
        <v>103</v>
      </c>
    </row>
    <row r="726" spans="1:24" x14ac:dyDescent="0.55000000000000004">
      <c r="A726" s="1" t="s">
        <v>810</v>
      </c>
      <c r="B726" s="1" t="s">
        <v>25</v>
      </c>
      <c r="C726">
        <v>35</v>
      </c>
      <c r="D726" s="1" t="s">
        <v>42</v>
      </c>
      <c r="E726" s="1" t="s">
        <v>84</v>
      </c>
      <c r="F726" s="1" t="s">
        <v>85</v>
      </c>
      <c r="G726" s="1" t="s">
        <v>29</v>
      </c>
      <c r="H726" s="1" t="s">
        <v>30</v>
      </c>
      <c r="I726" s="1" t="s">
        <v>45</v>
      </c>
      <c r="J726" s="1" t="s">
        <v>32</v>
      </c>
      <c r="K726" s="1" t="s">
        <v>33</v>
      </c>
      <c r="L726" s="2">
        <v>46197</v>
      </c>
      <c r="M726" s="2">
        <v>46241</v>
      </c>
      <c r="N726">
        <v>1624038</v>
      </c>
      <c r="O726">
        <v>89182</v>
      </c>
      <c r="P726">
        <v>1534856</v>
      </c>
      <c r="Q726" s="1" t="s">
        <v>34</v>
      </c>
      <c r="R726" s="1" t="s">
        <v>48</v>
      </c>
      <c r="S726" s="1" t="s">
        <v>36</v>
      </c>
      <c r="T726" s="1" t="s">
        <v>37</v>
      </c>
      <c r="U726">
        <v>3.6</v>
      </c>
      <c r="V726" t="s">
        <v>38</v>
      </c>
      <c r="W726">
        <v>8</v>
      </c>
      <c r="X726" s="1" t="s">
        <v>57</v>
      </c>
    </row>
    <row r="727" spans="1:24" x14ac:dyDescent="0.55000000000000004">
      <c r="A727" s="1" t="s">
        <v>811</v>
      </c>
      <c r="B727" s="1" t="s">
        <v>93</v>
      </c>
      <c r="C727">
        <v>58</v>
      </c>
      <c r="D727" s="1" t="s">
        <v>26</v>
      </c>
      <c r="E727" s="1" t="s">
        <v>71</v>
      </c>
      <c r="F727" s="1" t="s">
        <v>72</v>
      </c>
      <c r="G727" s="1" t="s">
        <v>29</v>
      </c>
      <c r="H727" s="1" t="s">
        <v>65</v>
      </c>
      <c r="I727" s="1" t="s">
        <v>74</v>
      </c>
      <c r="J727" s="1" t="s">
        <v>54</v>
      </c>
      <c r="K727" s="1" t="s">
        <v>33</v>
      </c>
      <c r="L727" s="2">
        <v>46133</v>
      </c>
      <c r="M727" s="2">
        <v>46163</v>
      </c>
      <c r="N727">
        <v>1631468</v>
      </c>
      <c r="O727">
        <v>24347</v>
      </c>
      <c r="P727">
        <v>1607121</v>
      </c>
      <c r="Q727" s="1" t="s">
        <v>66</v>
      </c>
      <c r="R727" s="1" t="s">
        <v>109</v>
      </c>
      <c r="S727" s="1" t="s">
        <v>36</v>
      </c>
      <c r="T727" s="1" t="s">
        <v>36</v>
      </c>
      <c r="U727">
        <v>3.5</v>
      </c>
      <c r="V727" t="s">
        <v>38</v>
      </c>
      <c r="W727">
        <v>5</v>
      </c>
      <c r="X727" s="1" t="s">
        <v>86</v>
      </c>
    </row>
    <row r="728" spans="1:24" x14ac:dyDescent="0.55000000000000004">
      <c r="A728" s="1" t="s">
        <v>812</v>
      </c>
      <c r="B728" s="1" t="s">
        <v>81</v>
      </c>
      <c r="C728">
        <v>45</v>
      </c>
      <c r="D728" s="1" t="s">
        <v>26</v>
      </c>
      <c r="E728" s="1" t="s">
        <v>43</v>
      </c>
      <c r="F728" s="1" t="s">
        <v>44</v>
      </c>
      <c r="G728" s="1" t="s">
        <v>29</v>
      </c>
      <c r="H728" s="1" t="s">
        <v>65</v>
      </c>
      <c r="I728" s="1" t="s">
        <v>74</v>
      </c>
      <c r="J728" s="1" t="s">
        <v>32</v>
      </c>
      <c r="K728" s="1" t="s">
        <v>46</v>
      </c>
      <c r="L728" s="2">
        <v>45769</v>
      </c>
      <c r="M728" s="2">
        <v>45777</v>
      </c>
      <c r="N728">
        <v>1539779</v>
      </c>
      <c r="O728">
        <v>97054</v>
      </c>
      <c r="P728">
        <v>1442725</v>
      </c>
      <c r="Q728" s="1" t="s">
        <v>66</v>
      </c>
      <c r="R728" s="1" t="s">
        <v>48</v>
      </c>
      <c r="S728" s="1" t="s">
        <v>36</v>
      </c>
      <c r="T728" s="1" t="s">
        <v>36</v>
      </c>
      <c r="U728">
        <v>4.7</v>
      </c>
      <c r="V728" t="s">
        <v>91</v>
      </c>
      <c r="W728">
        <v>4</v>
      </c>
      <c r="X728" s="1" t="s">
        <v>63</v>
      </c>
    </row>
    <row r="729" spans="1:24" x14ac:dyDescent="0.55000000000000004">
      <c r="A729" s="1" t="s">
        <v>813</v>
      </c>
      <c r="B729" s="1" t="s">
        <v>51</v>
      </c>
      <c r="C729">
        <v>58</v>
      </c>
      <c r="D729" s="1" t="s">
        <v>42</v>
      </c>
      <c r="E729" s="1" t="s">
        <v>43</v>
      </c>
      <c r="F729" s="1" t="s">
        <v>44</v>
      </c>
      <c r="G729" s="1" t="s">
        <v>29</v>
      </c>
      <c r="H729" s="1" t="s">
        <v>77</v>
      </c>
      <c r="I729" s="1" t="s">
        <v>74</v>
      </c>
      <c r="J729" s="1" t="s">
        <v>32</v>
      </c>
      <c r="K729" s="1" t="s">
        <v>33</v>
      </c>
      <c r="L729" s="2">
        <v>45910</v>
      </c>
      <c r="M729" s="2">
        <v>45941</v>
      </c>
      <c r="N729">
        <v>1355276</v>
      </c>
      <c r="O729">
        <v>47463</v>
      </c>
      <c r="P729">
        <v>1307813</v>
      </c>
      <c r="Q729" s="1" t="s">
        <v>55</v>
      </c>
      <c r="R729" s="1" t="s">
        <v>48</v>
      </c>
      <c r="S729" s="1" t="s">
        <v>36</v>
      </c>
      <c r="T729" s="1" t="s">
        <v>37</v>
      </c>
      <c r="U729">
        <v>3.3</v>
      </c>
      <c r="V729" t="s">
        <v>38</v>
      </c>
      <c r="W729">
        <v>10</v>
      </c>
      <c r="X729" s="1" t="s">
        <v>75</v>
      </c>
    </row>
    <row r="730" spans="1:24" x14ac:dyDescent="0.55000000000000004">
      <c r="A730" s="1" t="s">
        <v>814</v>
      </c>
      <c r="B730" s="1" t="s">
        <v>51</v>
      </c>
      <c r="C730">
        <v>43</v>
      </c>
      <c r="D730" s="1" t="s">
        <v>42</v>
      </c>
      <c r="E730" s="1" t="s">
        <v>90</v>
      </c>
      <c r="F730" s="1" t="s">
        <v>44</v>
      </c>
      <c r="G730" s="1" t="s">
        <v>29</v>
      </c>
      <c r="H730" s="1" t="s">
        <v>65</v>
      </c>
      <c r="I730" s="1" t="s">
        <v>31</v>
      </c>
      <c r="J730" s="1" t="s">
        <v>32</v>
      </c>
      <c r="K730" s="1" t="s">
        <v>33</v>
      </c>
      <c r="L730" s="2">
        <v>45842</v>
      </c>
      <c r="M730" s="2">
        <v>45876</v>
      </c>
      <c r="N730">
        <v>1591118</v>
      </c>
      <c r="O730">
        <v>42863</v>
      </c>
      <c r="P730">
        <v>1548255</v>
      </c>
      <c r="Q730" s="1" t="s">
        <v>78</v>
      </c>
      <c r="R730" s="1" t="s">
        <v>109</v>
      </c>
      <c r="S730" s="1" t="s">
        <v>37</v>
      </c>
      <c r="T730" s="1" t="s">
        <v>37</v>
      </c>
      <c r="U730">
        <v>3.6</v>
      </c>
      <c r="V730" t="s">
        <v>38</v>
      </c>
      <c r="W730">
        <v>8</v>
      </c>
      <c r="X730" s="1" t="s">
        <v>57</v>
      </c>
    </row>
    <row r="731" spans="1:24" x14ac:dyDescent="0.55000000000000004">
      <c r="A731" s="1" t="s">
        <v>815</v>
      </c>
      <c r="B731" s="1" t="s">
        <v>81</v>
      </c>
      <c r="C731">
        <v>22</v>
      </c>
      <c r="D731" s="1" t="s">
        <v>26</v>
      </c>
      <c r="E731" s="1" t="s">
        <v>90</v>
      </c>
      <c r="F731" s="1" t="s">
        <v>44</v>
      </c>
      <c r="G731" s="1" t="s">
        <v>29</v>
      </c>
      <c r="H731" s="1" t="s">
        <v>65</v>
      </c>
      <c r="I731" s="1" t="s">
        <v>45</v>
      </c>
      <c r="J731" s="1" t="s">
        <v>54</v>
      </c>
      <c r="K731" s="1" t="s">
        <v>46</v>
      </c>
      <c r="L731" s="2">
        <v>46022</v>
      </c>
      <c r="M731" s="2">
        <v>46030</v>
      </c>
      <c r="N731">
        <v>1827881</v>
      </c>
      <c r="O731">
        <v>51914</v>
      </c>
      <c r="P731">
        <v>1775967</v>
      </c>
      <c r="Q731" s="1" t="s">
        <v>78</v>
      </c>
      <c r="R731" s="1" t="s">
        <v>79</v>
      </c>
      <c r="S731" s="1" t="s">
        <v>36</v>
      </c>
      <c r="T731" s="1" t="s">
        <v>37</v>
      </c>
      <c r="U731">
        <v>4.7</v>
      </c>
      <c r="V731" t="s">
        <v>91</v>
      </c>
      <c r="W731">
        <v>1</v>
      </c>
      <c r="X731" s="1" t="s">
        <v>88</v>
      </c>
    </row>
    <row r="732" spans="1:24" x14ac:dyDescent="0.55000000000000004">
      <c r="A732" s="1" t="s">
        <v>816</v>
      </c>
      <c r="B732" s="1" t="s">
        <v>41</v>
      </c>
      <c r="C732">
        <v>22</v>
      </c>
      <c r="D732" s="1" t="s">
        <v>42</v>
      </c>
      <c r="E732" s="1" t="s">
        <v>27</v>
      </c>
      <c r="F732" s="1" t="s">
        <v>28</v>
      </c>
      <c r="G732" s="1" t="s">
        <v>29</v>
      </c>
      <c r="H732" s="1" t="s">
        <v>30</v>
      </c>
      <c r="I732" s="1" t="s">
        <v>53</v>
      </c>
      <c r="J732" s="1" t="s">
        <v>54</v>
      </c>
      <c r="K732" s="1" t="s">
        <v>46</v>
      </c>
      <c r="L732" s="2">
        <v>46147</v>
      </c>
      <c r="M732" s="2">
        <v>46187</v>
      </c>
      <c r="N732">
        <v>1897525</v>
      </c>
      <c r="O732">
        <v>13779</v>
      </c>
      <c r="P732">
        <v>1883746</v>
      </c>
      <c r="Q732" s="1" t="s">
        <v>34</v>
      </c>
      <c r="R732" s="1" t="s">
        <v>79</v>
      </c>
      <c r="S732" s="1" t="s">
        <v>36</v>
      </c>
      <c r="T732" s="1" t="s">
        <v>37</v>
      </c>
      <c r="U732">
        <v>4.2</v>
      </c>
      <c r="V732" t="s">
        <v>38</v>
      </c>
      <c r="W732">
        <v>6</v>
      </c>
      <c r="X732" s="1" t="s">
        <v>68</v>
      </c>
    </row>
    <row r="733" spans="1:24" x14ac:dyDescent="0.55000000000000004">
      <c r="A733" s="1" t="s">
        <v>817</v>
      </c>
      <c r="B733" s="1" t="s">
        <v>83</v>
      </c>
      <c r="C733">
        <v>22</v>
      </c>
      <c r="D733" s="1" t="s">
        <v>26</v>
      </c>
      <c r="E733" s="1" t="s">
        <v>90</v>
      </c>
      <c r="F733" s="1" t="s">
        <v>44</v>
      </c>
      <c r="G733" s="1" t="s">
        <v>29</v>
      </c>
      <c r="H733" s="1" t="s">
        <v>65</v>
      </c>
      <c r="I733" s="1" t="s">
        <v>45</v>
      </c>
      <c r="J733" s="1" t="s">
        <v>54</v>
      </c>
      <c r="K733" s="1" t="s">
        <v>33</v>
      </c>
      <c r="L733" s="2">
        <v>45955</v>
      </c>
      <c r="M733" s="2">
        <v>45993</v>
      </c>
      <c r="N733">
        <v>1705625</v>
      </c>
      <c r="O733">
        <v>57416</v>
      </c>
      <c r="P733">
        <v>1648209</v>
      </c>
      <c r="Q733" s="1" t="s">
        <v>78</v>
      </c>
      <c r="R733" s="1" t="s">
        <v>35</v>
      </c>
      <c r="S733" s="1" t="s">
        <v>36</v>
      </c>
      <c r="T733" s="1" t="s">
        <v>37</v>
      </c>
      <c r="U733">
        <v>4.8</v>
      </c>
      <c r="V733" t="s">
        <v>38</v>
      </c>
      <c r="W733">
        <v>12</v>
      </c>
      <c r="X733" s="1" t="s">
        <v>49</v>
      </c>
    </row>
    <row r="734" spans="1:24" x14ac:dyDescent="0.55000000000000004">
      <c r="A734" s="1" t="s">
        <v>818</v>
      </c>
      <c r="B734" s="1" t="s">
        <v>62</v>
      </c>
      <c r="C734">
        <v>38</v>
      </c>
      <c r="D734" s="1" t="s">
        <v>42</v>
      </c>
      <c r="E734" s="1" t="s">
        <v>71</v>
      </c>
      <c r="F734" s="1" t="s">
        <v>72</v>
      </c>
      <c r="G734" s="1" t="s">
        <v>29</v>
      </c>
      <c r="H734" s="1" t="s">
        <v>30</v>
      </c>
      <c r="I734" s="1" t="s">
        <v>74</v>
      </c>
      <c r="J734" s="1" t="s">
        <v>54</v>
      </c>
      <c r="K734" s="1" t="s">
        <v>46</v>
      </c>
      <c r="L734" s="2">
        <v>45691</v>
      </c>
      <c r="M734" s="2">
        <v>45711</v>
      </c>
      <c r="N734">
        <v>1488693</v>
      </c>
      <c r="O734">
        <v>31803</v>
      </c>
      <c r="P734">
        <v>1456890</v>
      </c>
      <c r="Q734" s="1" t="s">
        <v>78</v>
      </c>
      <c r="R734" s="1" t="s">
        <v>79</v>
      </c>
      <c r="S734" s="1" t="s">
        <v>36</v>
      </c>
      <c r="T734" s="1" t="s">
        <v>37</v>
      </c>
      <c r="U734">
        <v>3.8</v>
      </c>
      <c r="V734" t="s">
        <v>56</v>
      </c>
      <c r="W734">
        <v>2</v>
      </c>
      <c r="X734" s="1" t="s">
        <v>107</v>
      </c>
    </row>
    <row r="735" spans="1:24" x14ac:dyDescent="0.55000000000000004">
      <c r="A735" s="1" t="s">
        <v>819</v>
      </c>
      <c r="B735" s="1" t="s">
        <v>81</v>
      </c>
      <c r="C735">
        <v>60</v>
      </c>
      <c r="D735" s="1" t="s">
        <v>26</v>
      </c>
      <c r="E735" s="1" t="s">
        <v>71</v>
      </c>
      <c r="F735" s="1" t="s">
        <v>72</v>
      </c>
      <c r="G735" s="1" t="s">
        <v>29</v>
      </c>
      <c r="H735" s="1" t="s">
        <v>65</v>
      </c>
      <c r="I735" s="1" t="s">
        <v>31</v>
      </c>
      <c r="J735" s="1" t="s">
        <v>54</v>
      </c>
      <c r="K735" s="1" t="s">
        <v>46</v>
      </c>
      <c r="L735" s="2">
        <v>45972</v>
      </c>
      <c r="M735" s="2">
        <v>45981</v>
      </c>
      <c r="N735">
        <v>1336602</v>
      </c>
      <c r="O735">
        <v>21486</v>
      </c>
      <c r="P735">
        <v>1315116</v>
      </c>
      <c r="Q735" s="1" t="s">
        <v>47</v>
      </c>
      <c r="R735" s="1" t="s">
        <v>48</v>
      </c>
      <c r="S735" s="1" t="s">
        <v>36</v>
      </c>
      <c r="T735" s="1" t="s">
        <v>36</v>
      </c>
      <c r="U735">
        <v>4</v>
      </c>
      <c r="V735" t="s">
        <v>91</v>
      </c>
      <c r="W735">
        <v>11</v>
      </c>
      <c r="X735" s="1" t="s">
        <v>60</v>
      </c>
    </row>
    <row r="736" spans="1:24" x14ac:dyDescent="0.55000000000000004">
      <c r="A736" s="1" t="s">
        <v>820</v>
      </c>
      <c r="B736" s="1" t="s">
        <v>25</v>
      </c>
      <c r="C736">
        <v>53</v>
      </c>
      <c r="D736" s="1" t="s">
        <v>42</v>
      </c>
      <c r="E736" s="1" t="s">
        <v>27</v>
      </c>
      <c r="F736" s="1" t="s">
        <v>28</v>
      </c>
      <c r="G736" s="1" t="s">
        <v>29</v>
      </c>
      <c r="H736" s="1" t="s">
        <v>30</v>
      </c>
      <c r="I736" s="1" t="s">
        <v>53</v>
      </c>
      <c r="J736" s="1" t="s">
        <v>54</v>
      </c>
      <c r="K736" s="1" t="s">
        <v>46</v>
      </c>
      <c r="L736" s="2">
        <v>45675</v>
      </c>
      <c r="M736" s="2">
        <v>45707</v>
      </c>
      <c r="N736">
        <v>1591515</v>
      </c>
      <c r="O736">
        <v>48830</v>
      </c>
      <c r="P736">
        <v>1542685</v>
      </c>
      <c r="Q736" s="1" t="s">
        <v>47</v>
      </c>
      <c r="R736" s="1" t="s">
        <v>79</v>
      </c>
      <c r="S736" s="1" t="s">
        <v>37</v>
      </c>
      <c r="T736" s="1" t="s">
        <v>36</v>
      </c>
      <c r="U736">
        <v>4.7</v>
      </c>
      <c r="V736" t="s">
        <v>38</v>
      </c>
      <c r="W736">
        <v>2</v>
      </c>
      <c r="X736" s="1" t="s">
        <v>107</v>
      </c>
    </row>
    <row r="737" spans="1:24" x14ac:dyDescent="0.55000000000000004">
      <c r="A737" s="1" t="s">
        <v>821</v>
      </c>
      <c r="B737" s="1" t="s">
        <v>51</v>
      </c>
      <c r="C737">
        <v>21</v>
      </c>
      <c r="D737" s="1" t="s">
        <v>42</v>
      </c>
      <c r="E737" s="1" t="s">
        <v>71</v>
      </c>
      <c r="F737" s="1" t="s">
        <v>72</v>
      </c>
      <c r="G737" s="1" t="s">
        <v>29</v>
      </c>
      <c r="H737" s="1" t="s">
        <v>65</v>
      </c>
      <c r="I737" s="1" t="s">
        <v>31</v>
      </c>
      <c r="J737" s="1" t="s">
        <v>54</v>
      </c>
      <c r="K737" s="1" t="s">
        <v>46</v>
      </c>
      <c r="L737" s="2">
        <v>45786</v>
      </c>
      <c r="M737" s="2">
        <v>45794</v>
      </c>
      <c r="N737">
        <v>1670241</v>
      </c>
      <c r="O737">
        <v>17287</v>
      </c>
      <c r="P737">
        <v>1652954</v>
      </c>
      <c r="Q737" s="1" t="s">
        <v>78</v>
      </c>
      <c r="R737" s="1" t="s">
        <v>79</v>
      </c>
      <c r="S737" s="1" t="s">
        <v>36</v>
      </c>
      <c r="T737" s="1" t="s">
        <v>36</v>
      </c>
      <c r="U737">
        <v>4.9000000000000004</v>
      </c>
      <c r="V737" t="s">
        <v>91</v>
      </c>
      <c r="W737">
        <v>5</v>
      </c>
      <c r="X737" s="1" t="s">
        <v>86</v>
      </c>
    </row>
    <row r="738" spans="1:24" x14ac:dyDescent="0.55000000000000004">
      <c r="A738" s="1" t="s">
        <v>822</v>
      </c>
      <c r="B738" s="1" t="s">
        <v>105</v>
      </c>
      <c r="C738">
        <v>46</v>
      </c>
      <c r="D738" s="1" t="s">
        <v>42</v>
      </c>
      <c r="E738" s="1" t="s">
        <v>27</v>
      </c>
      <c r="F738" s="1" t="s">
        <v>28</v>
      </c>
      <c r="G738" s="1" t="s">
        <v>29</v>
      </c>
      <c r="H738" s="1" t="s">
        <v>30</v>
      </c>
      <c r="I738" s="1" t="s">
        <v>45</v>
      </c>
      <c r="J738" s="1" t="s">
        <v>32</v>
      </c>
      <c r="K738" s="1" t="s">
        <v>33</v>
      </c>
      <c r="L738" s="2">
        <v>46151</v>
      </c>
      <c r="M738" s="2">
        <v>46169</v>
      </c>
      <c r="N738">
        <v>1401008</v>
      </c>
      <c r="O738">
        <v>70778</v>
      </c>
      <c r="P738">
        <v>1330230</v>
      </c>
      <c r="Q738" s="1" t="s">
        <v>55</v>
      </c>
      <c r="R738" s="1" t="s">
        <v>79</v>
      </c>
      <c r="S738" s="1" t="s">
        <v>36</v>
      </c>
      <c r="T738" s="1" t="s">
        <v>36</v>
      </c>
      <c r="U738">
        <v>3.9</v>
      </c>
      <c r="V738" t="s">
        <v>56</v>
      </c>
      <c r="W738">
        <v>5</v>
      </c>
      <c r="X738" s="1" t="s">
        <v>86</v>
      </c>
    </row>
    <row r="739" spans="1:24" x14ac:dyDescent="0.55000000000000004">
      <c r="A739" s="1" t="s">
        <v>823</v>
      </c>
      <c r="B739" s="1" t="s">
        <v>93</v>
      </c>
      <c r="C739">
        <v>21</v>
      </c>
      <c r="D739" s="1" t="s">
        <v>26</v>
      </c>
      <c r="E739" s="1" t="s">
        <v>84</v>
      </c>
      <c r="F739" s="1" t="s">
        <v>85</v>
      </c>
      <c r="G739" s="1" t="s">
        <v>29</v>
      </c>
      <c r="H739" s="1" t="s">
        <v>65</v>
      </c>
      <c r="I739" s="1" t="s">
        <v>31</v>
      </c>
      <c r="J739" s="1" t="s">
        <v>32</v>
      </c>
      <c r="K739" s="1" t="s">
        <v>46</v>
      </c>
      <c r="L739" s="2">
        <v>46077</v>
      </c>
      <c r="M739" s="2">
        <v>46094</v>
      </c>
      <c r="N739">
        <v>1460383</v>
      </c>
      <c r="O739">
        <v>47698</v>
      </c>
      <c r="P739">
        <v>1412685</v>
      </c>
      <c r="Q739" s="1" t="s">
        <v>55</v>
      </c>
      <c r="R739" s="1" t="s">
        <v>109</v>
      </c>
      <c r="S739" s="1" t="s">
        <v>37</v>
      </c>
      <c r="T739" s="1" t="s">
        <v>36</v>
      </c>
      <c r="U739">
        <v>4.5</v>
      </c>
      <c r="V739" t="s">
        <v>56</v>
      </c>
      <c r="W739">
        <v>3</v>
      </c>
      <c r="X739" s="1" t="s">
        <v>96</v>
      </c>
    </row>
    <row r="740" spans="1:24" x14ac:dyDescent="0.55000000000000004">
      <c r="A740" s="1" t="s">
        <v>824</v>
      </c>
      <c r="B740" s="1" t="s">
        <v>83</v>
      </c>
      <c r="C740">
        <v>42</v>
      </c>
      <c r="D740" s="1" t="s">
        <v>42</v>
      </c>
      <c r="E740" s="1" t="s">
        <v>84</v>
      </c>
      <c r="F740" s="1" t="s">
        <v>85</v>
      </c>
      <c r="G740" s="1" t="s">
        <v>29</v>
      </c>
      <c r="H740" s="1" t="s">
        <v>65</v>
      </c>
      <c r="I740" s="1" t="s">
        <v>74</v>
      </c>
      <c r="J740" s="1" t="s">
        <v>32</v>
      </c>
      <c r="K740" s="1" t="s">
        <v>33</v>
      </c>
      <c r="L740" s="2">
        <v>45667</v>
      </c>
      <c r="M740" s="2">
        <v>45693</v>
      </c>
      <c r="N740">
        <v>1862253</v>
      </c>
      <c r="O740">
        <v>34024</v>
      </c>
      <c r="P740">
        <v>1828229</v>
      </c>
      <c r="Q740" s="1" t="s">
        <v>78</v>
      </c>
      <c r="R740" s="1" t="s">
        <v>48</v>
      </c>
      <c r="S740" s="1" t="s">
        <v>36</v>
      </c>
      <c r="T740" s="1" t="s">
        <v>37</v>
      </c>
      <c r="U740">
        <v>4.7</v>
      </c>
      <c r="V740" t="s">
        <v>38</v>
      </c>
      <c r="W740">
        <v>2</v>
      </c>
      <c r="X740" s="1" t="s">
        <v>107</v>
      </c>
    </row>
    <row r="741" spans="1:24" x14ac:dyDescent="0.55000000000000004">
      <c r="A741" s="1" t="s">
        <v>825</v>
      </c>
      <c r="B741" s="1" t="s">
        <v>25</v>
      </c>
      <c r="C741">
        <v>25</v>
      </c>
      <c r="D741" s="1" t="s">
        <v>26</v>
      </c>
      <c r="E741" s="1" t="s">
        <v>90</v>
      </c>
      <c r="F741" s="1" t="s">
        <v>44</v>
      </c>
      <c r="G741" s="1" t="s">
        <v>29</v>
      </c>
      <c r="H741" s="1" t="s">
        <v>77</v>
      </c>
      <c r="I741" s="1" t="s">
        <v>31</v>
      </c>
      <c r="J741" s="1" t="s">
        <v>32</v>
      </c>
      <c r="K741" s="1" t="s">
        <v>46</v>
      </c>
      <c r="L741" s="2">
        <v>46159</v>
      </c>
      <c r="M741" s="2">
        <v>46200</v>
      </c>
      <c r="N741">
        <v>1402407</v>
      </c>
      <c r="O741">
        <v>33116</v>
      </c>
      <c r="P741">
        <v>1369291</v>
      </c>
      <c r="Q741" s="1" t="s">
        <v>55</v>
      </c>
      <c r="R741" s="1" t="s">
        <v>79</v>
      </c>
      <c r="S741" s="1" t="s">
        <v>37</v>
      </c>
      <c r="T741" s="1" t="s">
        <v>36</v>
      </c>
      <c r="U741">
        <v>4.9000000000000004</v>
      </c>
      <c r="V741" t="s">
        <v>38</v>
      </c>
      <c r="W741">
        <v>6</v>
      </c>
      <c r="X741" s="1" t="s">
        <v>68</v>
      </c>
    </row>
    <row r="742" spans="1:24" x14ac:dyDescent="0.55000000000000004">
      <c r="A742" s="1" t="s">
        <v>826</v>
      </c>
      <c r="B742" s="1" t="s">
        <v>70</v>
      </c>
      <c r="C742">
        <v>56</v>
      </c>
      <c r="D742" s="1" t="s">
        <v>42</v>
      </c>
      <c r="E742" s="1" t="s">
        <v>27</v>
      </c>
      <c r="F742" s="1" t="s">
        <v>28</v>
      </c>
      <c r="G742" s="1" t="s">
        <v>29</v>
      </c>
      <c r="H742" s="1" t="s">
        <v>30</v>
      </c>
      <c r="I742" s="1" t="s">
        <v>59</v>
      </c>
      <c r="J742" s="1" t="s">
        <v>54</v>
      </c>
      <c r="K742" s="1" t="s">
        <v>33</v>
      </c>
      <c r="L742" s="2">
        <v>45820</v>
      </c>
      <c r="M742" s="2">
        <v>45857</v>
      </c>
      <c r="N742">
        <v>1481306</v>
      </c>
      <c r="O742">
        <v>13414</v>
      </c>
      <c r="P742">
        <v>1467892</v>
      </c>
      <c r="Q742" s="1" t="s">
        <v>66</v>
      </c>
      <c r="R742" s="1" t="s">
        <v>79</v>
      </c>
      <c r="S742" s="1" t="s">
        <v>37</v>
      </c>
      <c r="T742" s="1" t="s">
        <v>36</v>
      </c>
      <c r="U742">
        <v>3.8</v>
      </c>
      <c r="V742" t="s">
        <v>38</v>
      </c>
      <c r="W742">
        <v>7</v>
      </c>
      <c r="X742" s="1" t="s">
        <v>39</v>
      </c>
    </row>
    <row r="743" spans="1:24" x14ac:dyDescent="0.55000000000000004">
      <c r="A743" s="1" t="s">
        <v>827</v>
      </c>
      <c r="B743" s="1" t="s">
        <v>81</v>
      </c>
      <c r="C743">
        <v>25</v>
      </c>
      <c r="D743" s="1" t="s">
        <v>26</v>
      </c>
      <c r="E743" s="1" t="s">
        <v>84</v>
      </c>
      <c r="F743" s="1" t="s">
        <v>85</v>
      </c>
      <c r="G743" s="1" t="s">
        <v>29</v>
      </c>
      <c r="H743" s="1" t="s">
        <v>30</v>
      </c>
      <c r="I743" s="1" t="s">
        <v>74</v>
      </c>
      <c r="J743" s="1" t="s">
        <v>54</v>
      </c>
      <c r="K743" s="1" t="s">
        <v>46</v>
      </c>
      <c r="L743" s="2">
        <v>45750</v>
      </c>
      <c r="M743" s="2">
        <v>45788</v>
      </c>
      <c r="N743">
        <v>1844673</v>
      </c>
      <c r="O743">
        <v>32087</v>
      </c>
      <c r="P743">
        <v>1812586</v>
      </c>
      <c r="Q743" s="1" t="s">
        <v>66</v>
      </c>
      <c r="R743" s="1" t="s">
        <v>48</v>
      </c>
      <c r="S743" s="1" t="s">
        <v>37</v>
      </c>
      <c r="T743" s="1" t="s">
        <v>36</v>
      </c>
      <c r="U743">
        <v>3.6</v>
      </c>
      <c r="V743" t="s">
        <v>38</v>
      </c>
      <c r="W743">
        <v>5</v>
      </c>
      <c r="X743" s="1" t="s">
        <v>86</v>
      </c>
    </row>
    <row r="744" spans="1:24" x14ac:dyDescent="0.55000000000000004">
      <c r="A744" s="1" t="s">
        <v>828</v>
      </c>
      <c r="B744" s="1" t="s">
        <v>98</v>
      </c>
      <c r="C744">
        <v>25</v>
      </c>
      <c r="D744" s="1" t="s">
        <v>26</v>
      </c>
      <c r="E744" s="1" t="s">
        <v>27</v>
      </c>
      <c r="F744" s="1" t="s">
        <v>28</v>
      </c>
      <c r="G744" s="1" t="s">
        <v>29</v>
      </c>
      <c r="H744" s="1" t="s">
        <v>30</v>
      </c>
      <c r="I744" s="1" t="s">
        <v>45</v>
      </c>
      <c r="J744" s="1" t="s">
        <v>32</v>
      </c>
      <c r="K744" s="1" t="s">
        <v>46</v>
      </c>
      <c r="L744" s="2">
        <v>46110</v>
      </c>
      <c r="M744" s="2">
        <v>46138</v>
      </c>
      <c r="N744">
        <v>1411255</v>
      </c>
      <c r="O744">
        <v>84342</v>
      </c>
      <c r="P744">
        <v>1326913</v>
      </c>
      <c r="Q744" s="1" t="s">
        <v>78</v>
      </c>
      <c r="R744" s="1" t="s">
        <v>109</v>
      </c>
      <c r="S744" s="1" t="s">
        <v>36</v>
      </c>
      <c r="T744" s="1" t="s">
        <v>37</v>
      </c>
      <c r="U744">
        <v>4.4000000000000004</v>
      </c>
      <c r="V744" t="s">
        <v>38</v>
      </c>
      <c r="W744">
        <v>4</v>
      </c>
      <c r="X744" s="1" t="s">
        <v>63</v>
      </c>
    </row>
    <row r="745" spans="1:24" x14ac:dyDescent="0.55000000000000004">
      <c r="A745" s="1" t="s">
        <v>829</v>
      </c>
      <c r="B745" s="1" t="s">
        <v>98</v>
      </c>
      <c r="C745">
        <v>50</v>
      </c>
      <c r="D745" s="1" t="s">
        <v>42</v>
      </c>
      <c r="E745" s="1" t="s">
        <v>90</v>
      </c>
      <c r="F745" s="1" t="s">
        <v>44</v>
      </c>
      <c r="G745" s="1" t="s">
        <v>29</v>
      </c>
      <c r="H745" s="1" t="s">
        <v>65</v>
      </c>
      <c r="I745" s="1" t="s">
        <v>45</v>
      </c>
      <c r="J745" s="1" t="s">
        <v>54</v>
      </c>
      <c r="K745" s="1" t="s">
        <v>46</v>
      </c>
      <c r="L745" s="2">
        <v>45680</v>
      </c>
      <c r="M745" s="2">
        <v>45723</v>
      </c>
      <c r="N745">
        <v>1312326</v>
      </c>
      <c r="O745">
        <v>89378</v>
      </c>
      <c r="P745">
        <v>1222948</v>
      </c>
      <c r="Q745" s="1" t="s">
        <v>55</v>
      </c>
      <c r="R745" s="1" t="s">
        <v>67</v>
      </c>
      <c r="S745" s="1" t="s">
        <v>37</v>
      </c>
      <c r="T745" s="1" t="s">
        <v>37</v>
      </c>
      <c r="U745">
        <v>4.7</v>
      </c>
      <c r="V745" t="s">
        <v>38</v>
      </c>
      <c r="W745">
        <v>3</v>
      </c>
      <c r="X745" s="1" t="s">
        <v>96</v>
      </c>
    </row>
    <row r="746" spans="1:24" x14ac:dyDescent="0.55000000000000004">
      <c r="A746" s="1" t="s">
        <v>830</v>
      </c>
      <c r="B746" s="1" t="s">
        <v>62</v>
      </c>
      <c r="C746">
        <v>49</v>
      </c>
      <c r="D746" s="1" t="s">
        <v>42</v>
      </c>
      <c r="E746" s="1" t="s">
        <v>84</v>
      </c>
      <c r="F746" s="1" t="s">
        <v>85</v>
      </c>
      <c r="G746" s="1" t="s">
        <v>29</v>
      </c>
      <c r="H746" s="1" t="s">
        <v>30</v>
      </c>
      <c r="I746" s="1" t="s">
        <v>45</v>
      </c>
      <c r="J746" s="1" t="s">
        <v>32</v>
      </c>
      <c r="K746" s="1" t="s">
        <v>33</v>
      </c>
      <c r="L746" s="2">
        <v>45797</v>
      </c>
      <c r="M746" s="2">
        <v>45818</v>
      </c>
      <c r="N746">
        <v>1727491</v>
      </c>
      <c r="O746">
        <v>32037</v>
      </c>
      <c r="P746">
        <v>1695454</v>
      </c>
      <c r="Q746" s="1" t="s">
        <v>66</v>
      </c>
      <c r="R746" s="1" t="s">
        <v>67</v>
      </c>
      <c r="S746" s="1" t="s">
        <v>36</v>
      </c>
      <c r="T746" s="1" t="s">
        <v>36</v>
      </c>
      <c r="U746">
        <v>4.4000000000000004</v>
      </c>
      <c r="V746" t="s">
        <v>38</v>
      </c>
      <c r="W746">
        <v>6</v>
      </c>
      <c r="X746" s="1" t="s">
        <v>68</v>
      </c>
    </row>
    <row r="747" spans="1:24" x14ac:dyDescent="0.55000000000000004">
      <c r="A747" s="1" t="s">
        <v>831</v>
      </c>
      <c r="B747" s="1" t="s">
        <v>25</v>
      </c>
      <c r="C747">
        <v>26</v>
      </c>
      <c r="D747" s="1" t="s">
        <v>26</v>
      </c>
      <c r="E747" s="1" t="s">
        <v>71</v>
      </c>
      <c r="F747" s="1" t="s">
        <v>72</v>
      </c>
      <c r="G747" s="1" t="s">
        <v>29</v>
      </c>
      <c r="H747" s="1" t="s">
        <v>30</v>
      </c>
      <c r="I747" s="1" t="s">
        <v>59</v>
      </c>
      <c r="J747" s="1" t="s">
        <v>32</v>
      </c>
      <c r="K747" s="1" t="s">
        <v>46</v>
      </c>
      <c r="L747" s="2">
        <v>46132</v>
      </c>
      <c r="M747" s="2">
        <v>46144</v>
      </c>
      <c r="N747">
        <v>1809662</v>
      </c>
      <c r="O747">
        <v>96075</v>
      </c>
      <c r="P747">
        <v>1713587</v>
      </c>
      <c r="Q747" s="1" t="s">
        <v>78</v>
      </c>
      <c r="R747" s="1" t="s">
        <v>48</v>
      </c>
      <c r="S747" s="1" t="s">
        <v>36</v>
      </c>
      <c r="T747" s="1" t="s">
        <v>37</v>
      </c>
      <c r="U747">
        <v>4.9000000000000004</v>
      </c>
      <c r="V747" t="s">
        <v>56</v>
      </c>
      <c r="W747">
        <v>5</v>
      </c>
      <c r="X747" s="1" t="s">
        <v>86</v>
      </c>
    </row>
    <row r="748" spans="1:24" x14ac:dyDescent="0.55000000000000004">
      <c r="A748" s="1" t="s">
        <v>832</v>
      </c>
      <c r="B748" s="1" t="s">
        <v>62</v>
      </c>
      <c r="C748">
        <v>54</v>
      </c>
      <c r="D748" s="1" t="s">
        <v>42</v>
      </c>
      <c r="E748" s="1" t="s">
        <v>52</v>
      </c>
      <c r="F748" s="1" t="s">
        <v>44</v>
      </c>
      <c r="G748" s="1" t="s">
        <v>29</v>
      </c>
      <c r="H748" s="1" t="s">
        <v>77</v>
      </c>
      <c r="I748" s="1" t="s">
        <v>53</v>
      </c>
      <c r="J748" s="1" t="s">
        <v>32</v>
      </c>
      <c r="K748" s="1" t="s">
        <v>33</v>
      </c>
      <c r="L748" s="2">
        <v>45985</v>
      </c>
      <c r="M748" s="2">
        <v>45992</v>
      </c>
      <c r="N748">
        <v>1556153</v>
      </c>
      <c r="O748">
        <v>64845</v>
      </c>
      <c r="P748">
        <v>1491308</v>
      </c>
      <c r="Q748" s="1" t="s">
        <v>78</v>
      </c>
      <c r="R748" s="1" t="s">
        <v>79</v>
      </c>
      <c r="S748" s="1" t="s">
        <v>36</v>
      </c>
      <c r="T748" s="1" t="s">
        <v>36</v>
      </c>
      <c r="U748">
        <v>3.8</v>
      </c>
      <c r="V748" t="s">
        <v>91</v>
      </c>
      <c r="W748">
        <v>12</v>
      </c>
      <c r="X748" s="1" t="s">
        <v>49</v>
      </c>
    </row>
    <row r="749" spans="1:24" x14ac:dyDescent="0.55000000000000004">
      <c r="A749" s="1" t="s">
        <v>833</v>
      </c>
      <c r="B749" s="1" t="s">
        <v>62</v>
      </c>
      <c r="C749">
        <v>59</v>
      </c>
      <c r="D749" s="1" t="s">
        <v>26</v>
      </c>
      <c r="E749" s="1" t="s">
        <v>52</v>
      </c>
      <c r="F749" s="1" t="s">
        <v>44</v>
      </c>
      <c r="G749" s="1" t="s">
        <v>29</v>
      </c>
      <c r="H749" s="1" t="s">
        <v>30</v>
      </c>
      <c r="I749" s="1" t="s">
        <v>53</v>
      </c>
      <c r="J749" s="1" t="s">
        <v>32</v>
      </c>
      <c r="K749" s="1" t="s">
        <v>33</v>
      </c>
      <c r="L749" s="2">
        <v>45800</v>
      </c>
      <c r="M749" s="2">
        <v>45817</v>
      </c>
      <c r="N749">
        <v>1731706</v>
      </c>
      <c r="O749">
        <v>49845</v>
      </c>
      <c r="P749">
        <v>1681861</v>
      </c>
      <c r="Q749" s="1" t="s">
        <v>55</v>
      </c>
      <c r="R749" s="1" t="s">
        <v>109</v>
      </c>
      <c r="S749" s="1" t="s">
        <v>36</v>
      </c>
      <c r="T749" s="1" t="s">
        <v>37</v>
      </c>
      <c r="U749">
        <v>4.8</v>
      </c>
      <c r="V749" t="s">
        <v>56</v>
      </c>
      <c r="W749">
        <v>6</v>
      </c>
      <c r="X749" s="1" t="s">
        <v>68</v>
      </c>
    </row>
    <row r="750" spans="1:24" x14ac:dyDescent="0.55000000000000004">
      <c r="A750" s="1" t="s">
        <v>834</v>
      </c>
      <c r="B750" s="1" t="s">
        <v>51</v>
      </c>
      <c r="C750">
        <v>28</v>
      </c>
      <c r="D750" s="1" t="s">
        <v>42</v>
      </c>
      <c r="E750" s="1" t="s">
        <v>71</v>
      </c>
      <c r="F750" s="1" t="s">
        <v>72</v>
      </c>
      <c r="G750" s="1" t="s">
        <v>29</v>
      </c>
      <c r="H750" s="1" t="s">
        <v>30</v>
      </c>
      <c r="I750" s="1" t="s">
        <v>59</v>
      </c>
      <c r="J750" s="1" t="s">
        <v>32</v>
      </c>
      <c r="K750" s="1" t="s">
        <v>46</v>
      </c>
      <c r="L750" s="2">
        <v>45934</v>
      </c>
      <c r="M750" s="2">
        <v>45972</v>
      </c>
      <c r="N750">
        <v>1496472</v>
      </c>
      <c r="O750">
        <v>80787</v>
      </c>
      <c r="P750">
        <v>1415685</v>
      </c>
      <c r="Q750" s="1" t="s">
        <v>78</v>
      </c>
      <c r="R750" s="1" t="s">
        <v>67</v>
      </c>
      <c r="S750" s="1" t="s">
        <v>37</v>
      </c>
      <c r="T750" s="1" t="s">
        <v>36</v>
      </c>
      <c r="U750">
        <v>3.6</v>
      </c>
      <c r="V750" t="s">
        <v>38</v>
      </c>
      <c r="W750">
        <v>11</v>
      </c>
      <c r="X750" s="1" t="s">
        <v>60</v>
      </c>
    </row>
    <row r="751" spans="1:24" x14ac:dyDescent="0.55000000000000004">
      <c r="A751" s="1" t="s">
        <v>835</v>
      </c>
      <c r="B751" s="1" t="s">
        <v>62</v>
      </c>
      <c r="C751">
        <v>56</v>
      </c>
      <c r="D751" s="1" t="s">
        <v>26</v>
      </c>
      <c r="E751" s="1" t="s">
        <v>71</v>
      </c>
      <c r="F751" s="1" t="s">
        <v>72</v>
      </c>
      <c r="G751" s="1" t="s">
        <v>29</v>
      </c>
      <c r="H751" s="1" t="s">
        <v>30</v>
      </c>
      <c r="I751" s="1" t="s">
        <v>53</v>
      </c>
      <c r="J751" s="1" t="s">
        <v>54</v>
      </c>
      <c r="K751" s="1" t="s">
        <v>33</v>
      </c>
      <c r="L751" s="2">
        <v>45703</v>
      </c>
      <c r="M751" s="2">
        <v>45720</v>
      </c>
      <c r="N751">
        <v>1312503</v>
      </c>
      <c r="O751">
        <v>69933</v>
      </c>
      <c r="P751">
        <v>1242570</v>
      </c>
      <c r="Q751" s="1" t="s">
        <v>55</v>
      </c>
      <c r="R751" s="1" t="s">
        <v>67</v>
      </c>
      <c r="S751" s="1" t="s">
        <v>37</v>
      </c>
      <c r="T751" s="1" t="s">
        <v>36</v>
      </c>
      <c r="U751">
        <v>4.5</v>
      </c>
      <c r="V751" t="s">
        <v>56</v>
      </c>
      <c r="W751">
        <v>3</v>
      </c>
      <c r="X751" s="1" t="s">
        <v>96</v>
      </c>
    </row>
    <row r="752" spans="1:24" x14ac:dyDescent="0.55000000000000004">
      <c r="A752" s="1" t="s">
        <v>836</v>
      </c>
      <c r="B752" s="1" t="s">
        <v>62</v>
      </c>
      <c r="C752">
        <v>25</v>
      </c>
      <c r="D752" s="1" t="s">
        <v>26</v>
      </c>
      <c r="E752" s="1" t="s">
        <v>71</v>
      </c>
      <c r="F752" s="1" t="s">
        <v>72</v>
      </c>
      <c r="G752" s="1" t="s">
        <v>29</v>
      </c>
      <c r="H752" s="1" t="s">
        <v>30</v>
      </c>
      <c r="I752" s="1" t="s">
        <v>45</v>
      </c>
      <c r="J752" s="1" t="s">
        <v>32</v>
      </c>
      <c r="K752" s="1" t="s">
        <v>46</v>
      </c>
      <c r="L752" s="2">
        <v>46145</v>
      </c>
      <c r="M752" s="2">
        <v>46169</v>
      </c>
      <c r="N752">
        <v>1535340</v>
      </c>
      <c r="O752">
        <v>10594</v>
      </c>
      <c r="P752">
        <v>1524746</v>
      </c>
      <c r="Q752" s="1" t="s">
        <v>78</v>
      </c>
      <c r="R752" s="1" t="s">
        <v>35</v>
      </c>
      <c r="S752" s="1" t="s">
        <v>36</v>
      </c>
      <c r="T752" s="1" t="s">
        <v>37</v>
      </c>
      <c r="U752">
        <v>4.5</v>
      </c>
      <c r="V752" t="s">
        <v>38</v>
      </c>
      <c r="W752">
        <v>5</v>
      </c>
      <c r="X752" s="1" t="s">
        <v>86</v>
      </c>
    </row>
    <row r="753" spans="1:24" x14ac:dyDescent="0.55000000000000004">
      <c r="A753" s="1" t="s">
        <v>837</v>
      </c>
      <c r="B753" s="1" t="s">
        <v>83</v>
      </c>
      <c r="C753">
        <v>46</v>
      </c>
      <c r="D753" s="1" t="s">
        <v>42</v>
      </c>
      <c r="E753" s="1" t="s">
        <v>52</v>
      </c>
      <c r="F753" s="1" t="s">
        <v>44</v>
      </c>
      <c r="G753" s="1" t="s">
        <v>29</v>
      </c>
      <c r="H753" s="1" t="s">
        <v>65</v>
      </c>
      <c r="I753" s="1" t="s">
        <v>59</v>
      </c>
      <c r="J753" s="1" t="s">
        <v>32</v>
      </c>
      <c r="K753" s="1" t="s">
        <v>46</v>
      </c>
      <c r="L753" s="2">
        <v>45708</v>
      </c>
      <c r="M753" s="2">
        <v>45745</v>
      </c>
      <c r="N753">
        <v>1518152</v>
      </c>
      <c r="O753">
        <v>98480</v>
      </c>
      <c r="P753">
        <v>1419672</v>
      </c>
      <c r="Q753" s="1" t="s">
        <v>78</v>
      </c>
      <c r="R753" s="1" t="s">
        <v>67</v>
      </c>
      <c r="S753" s="1" t="s">
        <v>36</v>
      </c>
      <c r="T753" s="1" t="s">
        <v>37</v>
      </c>
      <c r="U753">
        <v>3.7</v>
      </c>
      <c r="V753" t="s">
        <v>38</v>
      </c>
      <c r="W753">
        <v>3</v>
      </c>
      <c r="X753" s="1" t="s">
        <v>96</v>
      </c>
    </row>
    <row r="754" spans="1:24" x14ac:dyDescent="0.55000000000000004">
      <c r="A754" s="1" t="s">
        <v>838</v>
      </c>
      <c r="B754" s="1" t="s">
        <v>98</v>
      </c>
      <c r="C754">
        <v>48</v>
      </c>
      <c r="D754" s="1" t="s">
        <v>26</v>
      </c>
      <c r="E754" s="1" t="s">
        <v>84</v>
      </c>
      <c r="F754" s="1" t="s">
        <v>85</v>
      </c>
      <c r="G754" s="1" t="s">
        <v>29</v>
      </c>
      <c r="H754" s="1" t="s">
        <v>65</v>
      </c>
      <c r="I754" s="1" t="s">
        <v>59</v>
      </c>
      <c r="J754" s="1" t="s">
        <v>54</v>
      </c>
      <c r="K754" s="1" t="s">
        <v>46</v>
      </c>
      <c r="L754" s="2">
        <v>46054</v>
      </c>
      <c r="M754" s="2">
        <v>46090</v>
      </c>
      <c r="N754">
        <v>1671611</v>
      </c>
      <c r="O754">
        <v>27827</v>
      </c>
      <c r="P754">
        <v>1643784</v>
      </c>
      <c r="Q754" s="1" t="s">
        <v>34</v>
      </c>
      <c r="R754" s="1" t="s">
        <v>35</v>
      </c>
      <c r="S754" s="1" t="s">
        <v>36</v>
      </c>
      <c r="T754" s="1" t="s">
        <v>37</v>
      </c>
      <c r="U754">
        <v>3.6</v>
      </c>
      <c r="V754" t="s">
        <v>38</v>
      </c>
      <c r="W754">
        <v>3</v>
      </c>
      <c r="X754" s="1" t="s">
        <v>96</v>
      </c>
    </row>
    <row r="755" spans="1:24" x14ac:dyDescent="0.55000000000000004">
      <c r="A755" s="1" t="s">
        <v>839</v>
      </c>
      <c r="B755" s="1" t="s">
        <v>41</v>
      </c>
      <c r="C755">
        <v>42</v>
      </c>
      <c r="D755" s="1" t="s">
        <v>26</v>
      </c>
      <c r="E755" s="1" t="s">
        <v>27</v>
      </c>
      <c r="F755" s="1" t="s">
        <v>28</v>
      </c>
      <c r="G755" s="1" t="s">
        <v>29</v>
      </c>
      <c r="H755" s="1" t="s">
        <v>30</v>
      </c>
      <c r="I755" s="1" t="s">
        <v>45</v>
      </c>
      <c r="J755" s="1" t="s">
        <v>32</v>
      </c>
      <c r="K755" s="1" t="s">
        <v>33</v>
      </c>
      <c r="L755" s="2">
        <v>46152</v>
      </c>
      <c r="M755" s="2">
        <v>46168</v>
      </c>
      <c r="N755">
        <v>1712037</v>
      </c>
      <c r="O755">
        <v>82716</v>
      </c>
      <c r="P755">
        <v>1629321</v>
      </c>
      <c r="Q755" s="1" t="s">
        <v>55</v>
      </c>
      <c r="R755" s="1" t="s">
        <v>35</v>
      </c>
      <c r="S755" s="1" t="s">
        <v>37</v>
      </c>
      <c r="T755" s="1" t="s">
        <v>37</v>
      </c>
      <c r="U755">
        <v>4.5</v>
      </c>
      <c r="V755" t="s">
        <v>56</v>
      </c>
      <c r="W755">
        <v>5</v>
      </c>
      <c r="X755" s="1" t="s">
        <v>86</v>
      </c>
    </row>
    <row r="756" spans="1:24" x14ac:dyDescent="0.55000000000000004">
      <c r="A756" s="1" t="s">
        <v>840</v>
      </c>
      <c r="B756" s="1" t="s">
        <v>62</v>
      </c>
      <c r="C756">
        <v>32</v>
      </c>
      <c r="D756" s="1" t="s">
        <v>26</v>
      </c>
      <c r="E756" s="1" t="s">
        <v>27</v>
      </c>
      <c r="F756" s="1" t="s">
        <v>28</v>
      </c>
      <c r="G756" s="1" t="s">
        <v>29</v>
      </c>
      <c r="H756" s="1" t="s">
        <v>30</v>
      </c>
      <c r="I756" s="1" t="s">
        <v>45</v>
      </c>
      <c r="J756" s="1" t="s">
        <v>32</v>
      </c>
      <c r="K756" s="1" t="s">
        <v>33</v>
      </c>
      <c r="L756" s="2">
        <v>45744</v>
      </c>
      <c r="M756" s="2">
        <v>45761</v>
      </c>
      <c r="N756">
        <v>1555241</v>
      </c>
      <c r="O756">
        <v>36925</v>
      </c>
      <c r="P756">
        <v>1518316</v>
      </c>
      <c r="Q756" s="1" t="s">
        <v>78</v>
      </c>
      <c r="R756" s="1" t="s">
        <v>48</v>
      </c>
      <c r="S756" s="1" t="s">
        <v>36</v>
      </c>
      <c r="T756" s="1" t="s">
        <v>36</v>
      </c>
      <c r="U756">
        <v>4</v>
      </c>
      <c r="V756" t="s">
        <v>56</v>
      </c>
      <c r="W756">
        <v>4</v>
      </c>
      <c r="X756" s="1" t="s">
        <v>63</v>
      </c>
    </row>
    <row r="757" spans="1:24" x14ac:dyDescent="0.55000000000000004">
      <c r="A757" s="1" t="s">
        <v>841</v>
      </c>
      <c r="B757" s="1" t="s">
        <v>83</v>
      </c>
      <c r="C757">
        <v>34</v>
      </c>
      <c r="D757" s="1" t="s">
        <v>26</v>
      </c>
      <c r="E757" s="1" t="s">
        <v>84</v>
      </c>
      <c r="F757" s="1" t="s">
        <v>85</v>
      </c>
      <c r="G757" s="1" t="s">
        <v>29</v>
      </c>
      <c r="H757" s="1" t="s">
        <v>30</v>
      </c>
      <c r="I757" s="1" t="s">
        <v>59</v>
      </c>
      <c r="J757" s="1" t="s">
        <v>54</v>
      </c>
      <c r="K757" s="1" t="s">
        <v>33</v>
      </c>
      <c r="L757" s="2">
        <v>46048</v>
      </c>
      <c r="M757" s="2">
        <v>46086</v>
      </c>
      <c r="N757">
        <v>1380655</v>
      </c>
      <c r="O757">
        <v>19050</v>
      </c>
      <c r="P757">
        <v>1361605</v>
      </c>
      <c r="Q757" s="1" t="s">
        <v>78</v>
      </c>
      <c r="R757" s="1" t="s">
        <v>79</v>
      </c>
      <c r="S757" s="1" t="s">
        <v>37</v>
      </c>
      <c r="T757" s="1" t="s">
        <v>36</v>
      </c>
      <c r="U757">
        <v>5</v>
      </c>
      <c r="V757" t="s">
        <v>38</v>
      </c>
      <c r="W757">
        <v>3</v>
      </c>
      <c r="X757" s="1" t="s">
        <v>96</v>
      </c>
    </row>
    <row r="758" spans="1:24" x14ac:dyDescent="0.55000000000000004">
      <c r="A758" s="1" t="s">
        <v>842</v>
      </c>
      <c r="B758" s="1" t="s">
        <v>83</v>
      </c>
      <c r="C758">
        <v>48</v>
      </c>
      <c r="D758" s="1" t="s">
        <v>42</v>
      </c>
      <c r="E758" s="1" t="s">
        <v>27</v>
      </c>
      <c r="F758" s="1" t="s">
        <v>28</v>
      </c>
      <c r="G758" s="1" t="s">
        <v>29</v>
      </c>
      <c r="H758" s="1" t="s">
        <v>30</v>
      </c>
      <c r="I758" s="1" t="s">
        <v>59</v>
      </c>
      <c r="J758" s="1" t="s">
        <v>32</v>
      </c>
      <c r="K758" s="1" t="s">
        <v>33</v>
      </c>
      <c r="L758" s="2">
        <v>46017</v>
      </c>
      <c r="M758" s="2">
        <v>46056</v>
      </c>
      <c r="N758">
        <v>1414597</v>
      </c>
      <c r="O758">
        <v>35746</v>
      </c>
      <c r="P758">
        <v>1378851</v>
      </c>
      <c r="Q758" s="1" t="s">
        <v>47</v>
      </c>
      <c r="R758" s="1" t="s">
        <v>79</v>
      </c>
      <c r="S758" s="1" t="s">
        <v>36</v>
      </c>
      <c r="T758" s="1" t="s">
        <v>37</v>
      </c>
      <c r="U758">
        <v>3.9</v>
      </c>
      <c r="V758" t="s">
        <v>38</v>
      </c>
      <c r="W758">
        <v>2</v>
      </c>
      <c r="X758" s="1" t="s">
        <v>107</v>
      </c>
    </row>
    <row r="759" spans="1:24" x14ac:dyDescent="0.55000000000000004">
      <c r="A759" s="1" t="s">
        <v>843</v>
      </c>
      <c r="B759" s="1" t="s">
        <v>81</v>
      </c>
      <c r="C759">
        <v>25</v>
      </c>
      <c r="D759" s="1" t="s">
        <v>26</v>
      </c>
      <c r="E759" s="1" t="s">
        <v>52</v>
      </c>
      <c r="F759" s="1" t="s">
        <v>44</v>
      </c>
      <c r="G759" s="1" t="s">
        <v>29</v>
      </c>
      <c r="H759" s="1" t="s">
        <v>30</v>
      </c>
      <c r="I759" s="1" t="s">
        <v>59</v>
      </c>
      <c r="J759" s="1" t="s">
        <v>32</v>
      </c>
      <c r="K759" s="1" t="s">
        <v>33</v>
      </c>
      <c r="L759" s="2">
        <v>45698</v>
      </c>
      <c r="M759" s="2">
        <v>45706</v>
      </c>
      <c r="N759">
        <v>1434790</v>
      </c>
      <c r="O759">
        <v>29957</v>
      </c>
      <c r="P759">
        <v>1404833</v>
      </c>
      <c r="Q759" s="1" t="s">
        <v>55</v>
      </c>
      <c r="R759" s="1" t="s">
        <v>79</v>
      </c>
      <c r="S759" s="1" t="s">
        <v>37</v>
      </c>
      <c r="T759" s="1" t="s">
        <v>36</v>
      </c>
      <c r="U759">
        <v>3.6</v>
      </c>
      <c r="V759" t="s">
        <v>91</v>
      </c>
      <c r="W759">
        <v>2</v>
      </c>
      <c r="X759" s="1" t="s">
        <v>107</v>
      </c>
    </row>
    <row r="760" spans="1:24" x14ac:dyDescent="0.55000000000000004">
      <c r="A760" s="1" t="s">
        <v>844</v>
      </c>
      <c r="B760" s="1" t="s">
        <v>62</v>
      </c>
      <c r="C760">
        <v>27</v>
      </c>
      <c r="D760" s="1" t="s">
        <v>42</v>
      </c>
      <c r="E760" s="1" t="s">
        <v>71</v>
      </c>
      <c r="F760" s="1" t="s">
        <v>72</v>
      </c>
      <c r="G760" s="1" t="s">
        <v>29</v>
      </c>
      <c r="H760" s="1" t="s">
        <v>30</v>
      </c>
      <c r="I760" s="1" t="s">
        <v>53</v>
      </c>
      <c r="J760" s="1" t="s">
        <v>32</v>
      </c>
      <c r="K760" s="1" t="s">
        <v>46</v>
      </c>
      <c r="L760" s="2">
        <v>46107</v>
      </c>
      <c r="M760" s="2">
        <v>46152</v>
      </c>
      <c r="N760">
        <v>1542370</v>
      </c>
      <c r="O760">
        <v>62832</v>
      </c>
      <c r="P760">
        <v>1479538</v>
      </c>
      <c r="Q760" s="1" t="s">
        <v>78</v>
      </c>
      <c r="R760" s="1" t="s">
        <v>79</v>
      </c>
      <c r="S760" s="1" t="s">
        <v>37</v>
      </c>
      <c r="T760" s="1" t="s">
        <v>37</v>
      </c>
      <c r="U760">
        <v>4.5999999999999996</v>
      </c>
      <c r="V760" t="s">
        <v>38</v>
      </c>
      <c r="W760">
        <v>5</v>
      </c>
      <c r="X760" s="1" t="s">
        <v>86</v>
      </c>
    </row>
    <row r="761" spans="1:24" x14ac:dyDescent="0.55000000000000004">
      <c r="A761" s="1" t="s">
        <v>845</v>
      </c>
      <c r="B761" s="1" t="s">
        <v>83</v>
      </c>
      <c r="C761">
        <v>48</v>
      </c>
      <c r="D761" s="1" t="s">
        <v>26</v>
      </c>
      <c r="E761" s="1" t="s">
        <v>84</v>
      </c>
      <c r="F761" s="1" t="s">
        <v>85</v>
      </c>
      <c r="G761" s="1" t="s">
        <v>29</v>
      </c>
      <c r="H761" s="1" t="s">
        <v>65</v>
      </c>
      <c r="I761" s="1" t="s">
        <v>59</v>
      </c>
      <c r="J761" s="1" t="s">
        <v>54</v>
      </c>
      <c r="K761" s="1" t="s">
        <v>33</v>
      </c>
      <c r="L761" s="2">
        <v>46073</v>
      </c>
      <c r="M761" s="2">
        <v>46086</v>
      </c>
      <c r="N761">
        <v>1883278</v>
      </c>
      <c r="O761">
        <v>54215</v>
      </c>
      <c r="P761">
        <v>1829063</v>
      </c>
      <c r="Q761" s="1" t="s">
        <v>66</v>
      </c>
      <c r="R761" s="1" t="s">
        <v>35</v>
      </c>
      <c r="S761" s="1" t="s">
        <v>37</v>
      </c>
      <c r="T761" s="1" t="s">
        <v>36</v>
      </c>
      <c r="U761">
        <v>4</v>
      </c>
      <c r="V761" t="s">
        <v>56</v>
      </c>
      <c r="W761">
        <v>3</v>
      </c>
      <c r="X761" s="1" t="s">
        <v>96</v>
      </c>
    </row>
    <row r="762" spans="1:24" x14ac:dyDescent="0.55000000000000004">
      <c r="A762" s="1" t="s">
        <v>846</v>
      </c>
      <c r="B762" s="1" t="s">
        <v>25</v>
      </c>
      <c r="C762">
        <v>35</v>
      </c>
      <c r="D762" s="1" t="s">
        <v>26</v>
      </c>
      <c r="E762" s="1" t="s">
        <v>27</v>
      </c>
      <c r="F762" s="1" t="s">
        <v>28</v>
      </c>
      <c r="G762" s="1" t="s">
        <v>29</v>
      </c>
      <c r="H762" s="1" t="s">
        <v>77</v>
      </c>
      <c r="I762" s="1" t="s">
        <v>53</v>
      </c>
      <c r="J762" s="1" t="s">
        <v>54</v>
      </c>
      <c r="K762" s="1" t="s">
        <v>46</v>
      </c>
      <c r="L762" s="2">
        <v>46145</v>
      </c>
      <c r="M762" s="2">
        <v>46159</v>
      </c>
      <c r="N762">
        <v>1520070</v>
      </c>
      <c r="O762">
        <v>56265</v>
      </c>
      <c r="P762">
        <v>1463805</v>
      </c>
      <c r="Q762" s="1" t="s">
        <v>78</v>
      </c>
      <c r="R762" s="1" t="s">
        <v>109</v>
      </c>
      <c r="S762" s="1" t="s">
        <v>37</v>
      </c>
      <c r="T762" s="1" t="s">
        <v>37</v>
      </c>
      <c r="U762">
        <v>3.9</v>
      </c>
      <c r="V762" t="s">
        <v>56</v>
      </c>
      <c r="W762">
        <v>5</v>
      </c>
      <c r="X762" s="1" t="s">
        <v>86</v>
      </c>
    </row>
    <row r="763" spans="1:24" x14ac:dyDescent="0.55000000000000004">
      <c r="A763" s="1" t="s">
        <v>847</v>
      </c>
      <c r="B763" s="1" t="s">
        <v>70</v>
      </c>
      <c r="C763">
        <v>25</v>
      </c>
      <c r="D763" s="1" t="s">
        <v>42</v>
      </c>
      <c r="E763" s="1" t="s">
        <v>27</v>
      </c>
      <c r="F763" s="1" t="s">
        <v>28</v>
      </c>
      <c r="G763" s="1" t="s">
        <v>29</v>
      </c>
      <c r="H763" s="1" t="s">
        <v>77</v>
      </c>
      <c r="I763" s="1" t="s">
        <v>31</v>
      </c>
      <c r="J763" s="1" t="s">
        <v>32</v>
      </c>
      <c r="K763" s="1" t="s">
        <v>33</v>
      </c>
      <c r="L763" s="2">
        <v>45837</v>
      </c>
      <c r="M763" s="2">
        <v>45871</v>
      </c>
      <c r="N763">
        <v>1359571</v>
      </c>
      <c r="O763">
        <v>53825</v>
      </c>
      <c r="P763">
        <v>1305746</v>
      </c>
      <c r="Q763" s="1" t="s">
        <v>66</v>
      </c>
      <c r="R763" s="1" t="s">
        <v>79</v>
      </c>
      <c r="S763" s="1" t="s">
        <v>37</v>
      </c>
      <c r="T763" s="1" t="s">
        <v>37</v>
      </c>
      <c r="U763">
        <v>4.7</v>
      </c>
      <c r="V763" t="s">
        <v>38</v>
      </c>
      <c r="W763">
        <v>8</v>
      </c>
      <c r="X763" s="1" t="s">
        <v>57</v>
      </c>
    </row>
    <row r="764" spans="1:24" x14ac:dyDescent="0.55000000000000004">
      <c r="A764" s="1" t="s">
        <v>848</v>
      </c>
      <c r="B764" s="1" t="s">
        <v>70</v>
      </c>
      <c r="C764">
        <v>35</v>
      </c>
      <c r="D764" s="1" t="s">
        <v>26</v>
      </c>
      <c r="E764" s="1" t="s">
        <v>27</v>
      </c>
      <c r="F764" s="1" t="s">
        <v>28</v>
      </c>
      <c r="G764" s="1" t="s">
        <v>29</v>
      </c>
      <c r="H764" s="1" t="s">
        <v>30</v>
      </c>
      <c r="I764" s="1" t="s">
        <v>53</v>
      </c>
      <c r="J764" s="1" t="s">
        <v>54</v>
      </c>
      <c r="K764" s="1" t="s">
        <v>46</v>
      </c>
      <c r="L764" s="2">
        <v>46071</v>
      </c>
      <c r="M764" s="2">
        <v>46097</v>
      </c>
      <c r="N764">
        <v>1825814</v>
      </c>
      <c r="O764">
        <v>70297</v>
      </c>
      <c r="P764">
        <v>1755517</v>
      </c>
      <c r="Q764" s="1" t="s">
        <v>66</v>
      </c>
      <c r="R764" s="1" t="s">
        <v>109</v>
      </c>
      <c r="S764" s="1" t="s">
        <v>36</v>
      </c>
      <c r="T764" s="1" t="s">
        <v>36</v>
      </c>
      <c r="U764">
        <v>4.4000000000000004</v>
      </c>
      <c r="V764" t="s">
        <v>38</v>
      </c>
      <c r="W764">
        <v>3</v>
      </c>
      <c r="X764" s="1" t="s">
        <v>96</v>
      </c>
    </row>
    <row r="765" spans="1:24" x14ac:dyDescent="0.55000000000000004">
      <c r="A765" s="1" t="s">
        <v>849</v>
      </c>
      <c r="B765" s="1" t="s">
        <v>25</v>
      </c>
      <c r="C765">
        <v>34</v>
      </c>
      <c r="D765" s="1" t="s">
        <v>42</v>
      </c>
      <c r="E765" s="1" t="s">
        <v>71</v>
      </c>
      <c r="F765" s="1" t="s">
        <v>72</v>
      </c>
      <c r="G765" s="1" t="s">
        <v>29</v>
      </c>
      <c r="H765" s="1" t="s">
        <v>65</v>
      </c>
      <c r="I765" s="1" t="s">
        <v>31</v>
      </c>
      <c r="J765" s="1" t="s">
        <v>32</v>
      </c>
      <c r="K765" s="1" t="s">
        <v>33</v>
      </c>
      <c r="L765" s="2">
        <v>45674</v>
      </c>
      <c r="M765" s="2">
        <v>45719</v>
      </c>
      <c r="N765">
        <v>1703966</v>
      </c>
      <c r="O765">
        <v>46624</v>
      </c>
      <c r="P765">
        <v>1657342</v>
      </c>
      <c r="Q765" s="1" t="s">
        <v>55</v>
      </c>
      <c r="R765" s="1" t="s">
        <v>48</v>
      </c>
      <c r="S765" s="1" t="s">
        <v>36</v>
      </c>
      <c r="T765" s="1" t="s">
        <v>37</v>
      </c>
      <c r="U765">
        <v>4</v>
      </c>
      <c r="V765" t="s">
        <v>38</v>
      </c>
      <c r="W765">
        <v>3</v>
      </c>
      <c r="X765" s="1" t="s">
        <v>96</v>
      </c>
    </row>
    <row r="766" spans="1:24" x14ac:dyDescent="0.55000000000000004">
      <c r="A766" s="1" t="s">
        <v>850</v>
      </c>
      <c r="B766" s="1" t="s">
        <v>81</v>
      </c>
      <c r="C766">
        <v>54</v>
      </c>
      <c r="D766" s="1" t="s">
        <v>42</v>
      </c>
      <c r="E766" s="1" t="s">
        <v>43</v>
      </c>
      <c r="F766" s="1" t="s">
        <v>44</v>
      </c>
      <c r="G766" s="1" t="s">
        <v>29</v>
      </c>
      <c r="H766" s="1" t="s">
        <v>65</v>
      </c>
      <c r="I766" s="1" t="s">
        <v>59</v>
      </c>
      <c r="J766" s="1" t="s">
        <v>32</v>
      </c>
      <c r="K766" s="1" t="s">
        <v>46</v>
      </c>
      <c r="L766" s="2">
        <v>46129</v>
      </c>
      <c r="M766" s="2">
        <v>46170</v>
      </c>
      <c r="N766">
        <v>1674785</v>
      </c>
      <c r="O766">
        <v>50320</v>
      </c>
      <c r="P766">
        <v>1624465</v>
      </c>
      <c r="Q766" s="1" t="s">
        <v>47</v>
      </c>
      <c r="R766" s="1" t="s">
        <v>35</v>
      </c>
      <c r="S766" s="1" t="s">
        <v>37</v>
      </c>
      <c r="T766" s="1" t="s">
        <v>37</v>
      </c>
      <c r="U766">
        <v>3.7</v>
      </c>
      <c r="V766" t="s">
        <v>38</v>
      </c>
      <c r="W766">
        <v>5</v>
      </c>
      <c r="X766" s="1" t="s">
        <v>86</v>
      </c>
    </row>
    <row r="767" spans="1:24" x14ac:dyDescent="0.55000000000000004">
      <c r="A767" s="1" t="s">
        <v>851</v>
      </c>
      <c r="B767" s="1" t="s">
        <v>25</v>
      </c>
      <c r="C767">
        <v>43</v>
      </c>
      <c r="D767" s="1" t="s">
        <v>42</v>
      </c>
      <c r="E767" s="1" t="s">
        <v>27</v>
      </c>
      <c r="F767" s="1" t="s">
        <v>28</v>
      </c>
      <c r="G767" s="1" t="s">
        <v>29</v>
      </c>
      <c r="H767" s="1" t="s">
        <v>77</v>
      </c>
      <c r="I767" s="1" t="s">
        <v>45</v>
      </c>
      <c r="J767" s="1" t="s">
        <v>32</v>
      </c>
      <c r="K767" s="1" t="s">
        <v>33</v>
      </c>
      <c r="L767" s="2">
        <v>45913</v>
      </c>
      <c r="M767" s="2">
        <v>45923</v>
      </c>
      <c r="N767">
        <v>1685454</v>
      </c>
      <c r="O767">
        <v>10241</v>
      </c>
      <c r="P767">
        <v>1675213</v>
      </c>
      <c r="Q767" s="1" t="s">
        <v>47</v>
      </c>
      <c r="R767" s="1" t="s">
        <v>67</v>
      </c>
      <c r="S767" s="1" t="s">
        <v>37</v>
      </c>
      <c r="T767" s="1" t="s">
        <v>36</v>
      </c>
      <c r="U767">
        <v>4.8</v>
      </c>
      <c r="V767" t="s">
        <v>91</v>
      </c>
      <c r="W767">
        <v>9</v>
      </c>
      <c r="X767" s="1" t="s">
        <v>103</v>
      </c>
    </row>
    <row r="768" spans="1:24" x14ac:dyDescent="0.55000000000000004">
      <c r="A768" s="1" t="s">
        <v>852</v>
      </c>
      <c r="B768" s="1" t="s">
        <v>25</v>
      </c>
      <c r="C768">
        <v>41</v>
      </c>
      <c r="D768" s="1" t="s">
        <v>26</v>
      </c>
      <c r="E768" s="1" t="s">
        <v>52</v>
      </c>
      <c r="F768" s="1" t="s">
        <v>44</v>
      </c>
      <c r="G768" s="1" t="s">
        <v>29</v>
      </c>
      <c r="H768" s="1" t="s">
        <v>65</v>
      </c>
      <c r="I768" s="1" t="s">
        <v>53</v>
      </c>
      <c r="J768" s="1" t="s">
        <v>54</v>
      </c>
      <c r="K768" s="1" t="s">
        <v>46</v>
      </c>
      <c r="L768" s="2">
        <v>46134</v>
      </c>
      <c r="M768" s="2">
        <v>46174</v>
      </c>
      <c r="N768">
        <v>1306683</v>
      </c>
      <c r="O768">
        <v>16422</v>
      </c>
      <c r="P768">
        <v>1290261</v>
      </c>
      <c r="Q768" s="1" t="s">
        <v>47</v>
      </c>
      <c r="R768" s="1" t="s">
        <v>79</v>
      </c>
      <c r="S768" s="1" t="s">
        <v>36</v>
      </c>
      <c r="T768" s="1" t="s">
        <v>37</v>
      </c>
      <c r="U768">
        <v>3.3</v>
      </c>
      <c r="V768" t="s">
        <v>38</v>
      </c>
      <c r="W768">
        <v>6</v>
      </c>
      <c r="X768" s="1" t="s">
        <v>68</v>
      </c>
    </row>
    <row r="769" spans="1:24" x14ac:dyDescent="0.55000000000000004">
      <c r="A769" s="1" t="s">
        <v>853</v>
      </c>
      <c r="B769" s="1" t="s">
        <v>98</v>
      </c>
      <c r="C769">
        <v>55</v>
      </c>
      <c r="D769" s="1" t="s">
        <v>42</v>
      </c>
      <c r="E769" s="1" t="s">
        <v>71</v>
      </c>
      <c r="F769" s="1" t="s">
        <v>72</v>
      </c>
      <c r="G769" s="1" t="s">
        <v>29</v>
      </c>
      <c r="H769" s="1" t="s">
        <v>65</v>
      </c>
      <c r="I769" s="1" t="s">
        <v>74</v>
      </c>
      <c r="J769" s="1" t="s">
        <v>54</v>
      </c>
      <c r="K769" s="1" t="s">
        <v>46</v>
      </c>
      <c r="L769" s="2">
        <v>45771</v>
      </c>
      <c r="M769" s="2">
        <v>45810</v>
      </c>
      <c r="N769">
        <v>1528741</v>
      </c>
      <c r="O769">
        <v>29494</v>
      </c>
      <c r="P769">
        <v>1499247</v>
      </c>
      <c r="Q769" s="1" t="s">
        <v>55</v>
      </c>
      <c r="R769" s="1" t="s">
        <v>109</v>
      </c>
      <c r="S769" s="1" t="s">
        <v>36</v>
      </c>
      <c r="T769" s="1" t="s">
        <v>36</v>
      </c>
      <c r="U769">
        <v>3.5</v>
      </c>
      <c r="V769" t="s">
        <v>38</v>
      </c>
      <c r="W769">
        <v>6</v>
      </c>
      <c r="X769" s="1" t="s">
        <v>68</v>
      </c>
    </row>
    <row r="770" spans="1:24" x14ac:dyDescent="0.55000000000000004">
      <c r="A770" s="1" t="s">
        <v>854</v>
      </c>
      <c r="B770" s="1" t="s">
        <v>51</v>
      </c>
      <c r="C770">
        <v>59</v>
      </c>
      <c r="D770" s="1" t="s">
        <v>42</v>
      </c>
      <c r="E770" s="1" t="s">
        <v>84</v>
      </c>
      <c r="F770" s="1" t="s">
        <v>85</v>
      </c>
      <c r="G770" s="1" t="s">
        <v>29</v>
      </c>
      <c r="H770" s="1" t="s">
        <v>30</v>
      </c>
      <c r="I770" s="1" t="s">
        <v>31</v>
      </c>
      <c r="J770" s="1" t="s">
        <v>54</v>
      </c>
      <c r="K770" s="1" t="s">
        <v>33</v>
      </c>
      <c r="L770" s="2">
        <v>46017</v>
      </c>
      <c r="M770" s="2">
        <v>46058</v>
      </c>
      <c r="N770">
        <v>1613718</v>
      </c>
      <c r="O770">
        <v>11247</v>
      </c>
      <c r="P770">
        <v>1602471</v>
      </c>
      <c r="Q770" s="1" t="s">
        <v>47</v>
      </c>
      <c r="R770" s="1" t="s">
        <v>35</v>
      </c>
      <c r="S770" s="1" t="s">
        <v>37</v>
      </c>
      <c r="T770" s="1" t="s">
        <v>37</v>
      </c>
      <c r="U770">
        <v>4.7</v>
      </c>
      <c r="V770" t="s">
        <v>38</v>
      </c>
      <c r="W770">
        <v>2</v>
      </c>
      <c r="X770" s="1" t="s">
        <v>107</v>
      </c>
    </row>
    <row r="771" spans="1:24" x14ac:dyDescent="0.55000000000000004">
      <c r="A771" s="1" t="s">
        <v>855</v>
      </c>
      <c r="B771" s="1" t="s">
        <v>81</v>
      </c>
      <c r="C771">
        <v>28</v>
      </c>
      <c r="D771" s="1" t="s">
        <v>26</v>
      </c>
      <c r="E771" s="1" t="s">
        <v>71</v>
      </c>
      <c r="F771" s="1" t="s">
        <v>72</v>
      </c>
      <c r="G771" s="1" t="s">
        <v>29</v>
      </c>
      <c r="H771" s="1" t="s">
        <v>30</v>
      </c>
      <c r="I771" s="1" t="s">
        <v>31</v>
      </c>
      <c r="J771" s="1" t="s">
        <v>32</v>
      </c>
      <c r="K771" s="1" t="s">
        <v>33</v>
      </c>
      <c r="L771" s="2">
        <v>45783</v>
      </c>
      <c r="M771" s="2">
        <v>45806</v>
      </c>
      <c r="N771">
        <v>1663543</v>
      </c>
      <c r="O771">
        <v>20026</v>
      </c>
      <c r="P771">
        <v>1643517</v>
      </c>
      <c r="Q771" s="1" t="s">
        <v>34</v>
      </c>
      <c r="R771" s="1" t="s">
        <v>67</v>
      </c>
      <c r="S771" s="1" t="s">
        <v>37</v>
      </c>
      <c r="T771" s="1" t="s">
        <v>36</v>
      </c>
      <c r="U771">
        <v>3.5</v>
      </c>
      <c r="V771" t="s">
        <v>38</v>
      </c>
      <c r="W771">
        <v>5</v>
      </c>
      <c r="X771" s="1" t="s">
        <v>86</v>
      </c>
    </row>
    <row r="772" spans="1:24" x14ac:dyDescent="0.55000000000000004">
      <c r="A772" s="1" t="s">
        <v>856</v>
      </c>
      <c r="B772" s="1" t="s">
        <v>81</v>
      </c>
      <c r="C772">
        <v>45</v>
      </c>
      <c r="D772" s="1" t="s">
        <v>42</v>
      </c>
      <c r="E772" s="1" t="s">
        <v>90</v>
      </c>
      <c r="F772" s="1" t="s">
        <v>44</v>
      </c>
      <c r="G772" s="1" t="s">
        <v>29</v>
      </c>
      <c r="H772" s="1" t="s">
        <v>77</v>
      </c>
      <c r="I772" s="1" t="s">
        <v>31</v>
      </c>
      <c r="J772" s="1" t="s">
        <v>32</v>
      </c>
      <c r="K772" s="1" t="s">
        <v>33</v>
      </c>
      <c r="L772" s="2">
        <v>45659</v>
      </c>
      <c r="M772" s="2">
        <v>45685</v>
      </c>
      <c r="N772">
        <v>1531708</v>
      </c>
      <c r="O772">
        <v>70052</v>
      </c>
      <c r="P772">
        <v>1461656</v>
      </c>
      <c r="Q772" s="1" t="s">
        <v>34</v>
      </c>
      <c r="R772" s="1" t="s">
        <v>79</v>
      </c>
      <c r="S772" s="1" t="s">
        <v>37</v>
      </c>
      <c r="T772" s="1" t="s">
        <v>37</v>
      </c>
      <c r="U772">
        <v>4.4000000000000004</v>
      </c>
      <c r="V772" t="s">
        <v>38</v>
      </c>
      <c r="W772">
        <v>1</v>
      </c>
      <c r="X772" s="1" t="s">
        <v>88</v>
      </c>
    </row>
    <row r="773" spans="1:24" x14ac:dyDescent="0.55000000000000004">
      <c r="A773" s="1" t="s">
        <v>857</v>
      </c>
      <c r="B773" s="1" t="s">
        <v>62</v>
      </c>
      <c r="C773">
        <v>35</v>
      </c>
      <c r="D773" s="1" t="s">
        <v>26</v>
      </c>
      <c r="E773" s="1" t="s">
        <v>43</v>
      </c>
      <c r="F773" s="1" t="s">
        <v>44</v>
      </c>
      <c r="G773" s="1" t="s">
        <v>29</v>
      </c>
      <c r="H773" s="1" t="s">
        <v>30</v>
      </c>
      <c r="I773" s="1" t="s">
        <v>31</v>
      </c>
      <c r="J773" s="1" t="s">
        <v>32</v>
      </c>
      <c r="K773" s="1" t="s">
        <v>46</v>
      </c>
      <c r="L773" s="2">
        <v>45917</v>
      </c>
      <c r="M773" s="2">
        <v>45947</v>
      </c>
      <c r="N773">
        <v>1855552</v>
      </c>
      <c r="O773">
        <v>44101</v>
      </c>
      <c r="P773">
        <v>1811451</v>
      </c>
      <c r="Q773" s="1" t="s">
        <v>47</v>
      </c>
      <c r="R773" s="1" t="s">
        <v>109</v>
      </c>
      <c r="S773" s="1" t="s">
        <v>36</v>
      </c>
      <c r="T773" s="1" t="s">
        <v>36</v>
      </c>
      <c r="U773">
        <v>4.3</v>
      </c>
      <c r="V773" t="s">
        <v>38</v>
      </c>
      <c r="W773">
        <v>10</v>
      </c>
      <c r="X773" s="1" t="s">
        <v>75</v>
      </c>
    </row>
    <row r="774" spans="1:24" x14ac:dyDescent="0.55000000000000004">
      <c r="A774" s="1" t="s">
        <v>858</v>
      </c>
      <c r="B774" s="1" t="s">
        <v>51</v>
      </c>
      <c r="C774">
        <v>44</v>
      </c>
      <c r="D774" s="1" t="s">
        <v>42</v>
      </c>
      <c r="E774" s="1" t="s">
        <v>52</v>
      </c>
      <c r="F774" s="1" t="s">
        <v>44</v>
      </c>
      <c r="G774" s="1" t="s">
        <v>29</v>
      </c>
      <c r="H774" s="1" t="s">
        <v>77</v>
      </c>
      <c r="I774" s="1" t="s">
        <v>45</v>
      </c>
      <c r="J774" s="1" t="s">
        <v>54</v>
      </c>
      <c r="K774" s="1" t="s">
        <v>33</v>
      </c>
      <c r="L774" s="2">
        <v>46134</v>
      </c>
      <c r="M774" s="2">
        <v>46152</v>
      </c>
      <c r="N774">
        <v>1339982</v>
      </c>
      <c r="O774">
        <v>43550</v>
      </c>
      <c r="P774">
        <v>1296432</v>
      </c>
      <c r="Q774" s="1" t="s">
        <v>47</v>
      </c>
      <c r="R774" s="1" t="s">
        <v>67</v>
      </c>
      <c r="S774" s="1" t="s">
        <v>37</v>
      </c>
      <c r="T774" s="1" t="s">
        <v>37</v>
      </c>
      <c r="U774">
        <v>4.5999999999999996</v>
      </c>
      <c r="V774" t="s">
        <v>56</v>
      </c>
      <c r="W774">
        <v>5</v>
      </c>
      <c r="X774" s="1" t="s">
        <v>86</v>
      </c>
    </row>
    <row r="775" spans="1:24" x14ac:dyDescent="0.55000000000000004">
      <c r="A775" s="1" t="s">
        <v>859</v>
      </c>
      <c r="B775" s="1" t="s">
        <v>98</v>
      </c>
      <c r="C775">
        <v>41</v>
      </c>
      <c r="D775" s="1" t="s">
        <v>26</v>
      </c>
      <c r="E775" s="1" t="s">
        <v>52</v>
      </c>
      <c r="F775" s="1" t="s">
        <v>44</v>
      </c>
      <c r="G775" s="1" t="s">
        <v>29</v>
      </c>
      <c r="H775" s="1" t="s">
        <v>30</v>
      </c>
      <c r="I775" s="1" t="s">
        <v>59</v>
      </c>
      <c r="J775" s="1" t="s">
        <v>54</v>
      </c>
      <c r="K775" s="1" t="s">
        <v>46</v>
      </c>
      <c r="L775" s="2">
        <v>45885</v>
      </c>
      <c r="M775" s="2">
        <v>45905</v>
      </c>
      <c r="N775">
        <v>1756360</v>
      </c>
      <c r="O775">
        <v>91689</v>
      </c>
      <c r="P775">
        <v>1664671</v>
      </c>
      <c r="Q775" s="1" t="s">
        <v>78</v>
      </c>
      <c r="R775" s="1" t="s">
        <v>48</v>
      </c>
      <c r="S775" s="1" t="s">
        <v>37</v>
      </c>
      <c r="T775" s="1" t="s">
        <v>37</v>
      </c>
      <c r="U775">
        <v>3.5</v>
      </c>
      <c r="V775" t="s">
        <v>56</v>
      </c>
      <c r="W775">
        <v>9</v>
      </c>
      <c r="X775" s="1" t="s">
        <v>103</v>
      </c>
    </row>
    <row r="776" spans="1:24" x14ac:dyDescent="0.55000000000000004">
      <c r="A776" s="1" t="s">
        <v>860</v>
      </c>
      <c r="B776" s="1" t="s">
        <v>25</v>
      </c>
      <c r="C776">
        <v>55</v>
      </c>
      <c r="D776" s="1" t="s">
        <v>26</v>
      </c>
      <c r="E776" s="1" t="s">
        <v>90</v>
      </c>
      <c r="F776" s="1" t="s">
        <v>44</v>
      </c>
      <c r="G776" s="1" t="s">
        <v>29</v>
      </c>
      <c r="H776" s="1" t="s">
        <v>30</v>
      </c>
      <c r="I776" s="1" t="s">
        <v>53</v>
      </c>
      <c r="J776" s="1" t="s">
        <v>32</v>
      </c>
      <c r="K776" s="1" t="s">
        <v>46</v>
      </c>
      <c r="L776" s="2">
        <v>45783</v>
      </c>
      <c r="M776" s="2">
        <v>45822</v>
      </c>
      <c r="N776">
        <v>1618048</v>
      </c>
      <c r="O776">
        <v>51099</v>
      </c>
      <c r="P776">
        <v>1566949</v>
      </c>
      <c r="Q776" s="1" t="s">
        <v>47</v>
      </c>
      <c r="R776" s="1" t="s">
        <v>79</v>
      </c>
      <c r="S776" s="1" t="s">
        <v>36</v>
      </c>
      <c r="T776" s="1" t="s">
        <v>37</v>
      </c>
      <c r="U776">
        <v>3.3</v>
      </c>
      <c r="V776" t="s">
        <v>38</v>
      </c>
      <c r="W776">
        <v>6</v>
      </c>
      <c r="X776" s="1" t="s">
        <v>68</v>
      </c>
    </row>
    <row r="777" spans="1:24" x14ac:dyDescent="0.55000000000000004">
      <c r="A777" s="1" t="s">
        <v>861</v>
      </c>
      <c r="B777" s="1" t="s">
        <v>81</v>
      </c>
      <c r="C777">
        <v>29</v>
      </c>
      <c r="D777" s="1" t="s">
        <v>42</v>
      </c>
      <c r="E777" s="1" t="s">
        <v>90</v>
      </c>
      <c r="F777" s="1" t="s">
        <v>44</v>
      </c>
      <c r="G777" s="1" t="s">
        <v>29</v>
      </c>
      <c r="H777" s="1" t="s">
        <v>65</v>
      </c>
      <c r="I777" s="1" t="s">
        <v>74</v>
      </c>
      <c r="J777" s="1" t="s">
        <v>32</v>
      </c>
      <c r="K777" s="1" t="s">
        <v>33</v>
      </c>
      <c r="L777" s="2">
        <v>45936</v>
      </c>
      <c r="M777" s="2">
        <v>45956</v>
      </c>
      <c r="N777">
        <v>1661764</v>
      </c>
      <c r="O777">
        <v>39882</v>
      </c>
      <c r="P777">
        <v>1621882</v>
      </c>
      <c r="Q777" s="1" t="s">
        <v>47</v>
      </c>
      <c r="R777" s="1" t="s">
        <v>35</v>
      </c>
      <c r="S777" s="1" t="s">
        <v>36</v>
      </c>
      <c r="T777" s="1" t="s">
        <v>36</v>
      </c>
      <c r="U777">
        <v>3.3</v>
      </c>
      <c r="V777" t="s">
        <v>56</v>
      </c>
      <c r="W777">
        <v>10</v>
      </c>
      <c r="X777" s="1" t="s">
        <v>75</v>
      </c>
    </row>
    <row r="778" spans="1:24" x14ac:dyDescent="0.55000000000000004">
      <c r="A778" s="1" t="s">
        <v>862</v>
      </c>
      <c r="B778" s="1" t="s">
        <v>70</v>
      </c>
      <c r="C778">
        <v>37</v>
      </c>
      <c r="D778" s="1" t="s">
        <v>26</v>
      </c>
      <c r="E778" s="1" t="s">
        <v>71</v>
      </c>
      <c r="F778" s="1" t="s">
        <v>72</v>
      </c>
      <c r="G778" s="1" t="s">
        <v>29</v>
      </c>
      <c r="H778" s="1" t="s">
        <v>77</v>
      </c>
      <c r="I778" s="1" t="s">
        <v>31</v>
      </c>
      <c r="J778" s="1" t="s">
        <v>32</v>
      </c>
      <c r="K778" s="1" t="s">
        <v>33</v>
      </c>
      <c r="L778" s="2">
        <v>46168</v>
      </c>
      <c r="M778" s="2">
        <v>46195</v>
      </c>
      <c r="N778">
        <v>1625043</v>
      </c>
      <c r="O778">
        <v>66745</v>
      </c>
      <c r="P778">
        <v>1558298</v>
      </c>
      <c r="Q778" s="1" t="s">
        <v>66</v>
      </c>
      <c r="R778" s="1" t="s">
        <v>67</v>
      </c>
      <c r="S778" s="1" t="s">
        <v>36</v>
      </c>
      <c r="T778" s="1" t="s">
        <v>37</v>
      </c>
      <c r="U778">
        <v>3.4</v>
      </c>
      <c r="V778" t="s">
        <v>38</v>
      </c>
      <c r="W778">
        <v>6</v>
      </c>
      <c r="X778" s="1" t="s">
        <v>68</v>
      </c>
    </row>
    <row r="779" spans="1:24" x14ac:dyDescent="0.55000000000000004">
      <c r="A779" s="1" t="s">
        <v>863</v>
      </c>
      <c r="B779" s="1" t="s">
        <v>81</v>
      </c>
      <c r="C779">
        <v>27</v>
      </c>
      <c r="D779" s="1" t="s">
        <v>42</v>
      </c>
      <c r="E779" s="1" t="s">
        <v>71</v>
      </c>
      <c r="F779" s="1" t="s">
        <v>72</v>
      </c>
      <c r="G779" s="1" t="s">
        <v>29</v>
      </c>
      <c r="H779" s="1" t="s">
        <v>65</v>
      </c>
      <c r="I779" s="1" t="s">
        <v>53</v>
      </c>
      <c r="J779" s="1" t="s">
        <v>54</v>
      </c>
      <c r="K779" s="1" t="s">
        <v>46</v>
      </c>
      <c r="L779" s="2">
        <v>46099</v>
      </c>
      <c r="M779" s="2">
        <v>46118</v>
      </c>
      <c r="N779">
        <v>1765235</v>
      </c>
      <c r="O779">
        <v>40467</v>
      </c>
      <c r="P779">
        <v>1724768</v>
      </c>
      <c r="Q779" s="1" t="s">
        <v>34</v>
      </c>
      <c r="R779" s="1" t="s">
        <v>35</v>
      </c>
      <c r="S779" s="1" t="s">
        <v>37</v>
      </c>
      <c r="T779" s="1" t="s">
        <v>36</v>
      </c>
      <c r="U779">
        <v>3.8</v>
      </c>
      <c r="V779" t="s">
        <v>56</v>
      </c>
      <c r="W779">
        <v>4</v>
      </c>
      <c r="X779" s="1" t="s">
        <v>63</v>
      </c>
    </row>
    <row r="780" spans="1:24" x14ac:dyDescent="0.55000000000000004">
      <c r="A780" s="1" t="s">
        <v>864</v>
      </c>
      <c r="B780" s="1" t="s">
        <v>41</v>
      </c>
      <c r="C780">
        <v>30</v>
      </c>
      <c r="D780" s="1" t="s">
        <v>26</v>
      </c>
      <c r="E780" s="1" t="s">
        <v>90</v>
      </c>
      <c r="F780" s="1" t="s">
        <v>44</v>
      </c>
      <c r="G780" s="1" t="s">
        <v>29</v>
      </c>
      <c r="H780" s="1" t="s">
        <v>30</v>
      </c>
      <c r="I780" s="1" t="s">
        <v>31</v>
      </c>
      <c r="J780" s="1" t="s">
        <v>54</v>
      </c>
      <c r="K780" s="1" t="s">
        <v>33</v>
      </c>
      <c r="L780" s="2">
        <v>46073</v>
      </c>
      <c r="M780" s="2">
        <v>46118</v>
      </c>
      <c r="N780">
        <v>1714488</v>
      </c>
      <c r="O780">
        <v>69633</v>
      </c>
      <c r="P780">
        <v>1644855</v>
      </c>
      <c r="Q780" s="1" t="s">
        <v>55</v>
      </c>
      <c r="R780" s="1" t="s">
        <v>48</v>
      </c>
      <c r="S780" s="1" t="s">
        <v>36</v>
      </c>
      <c r="T780" s="1" t="s">
        <v>37</v>
      </c>
      <c r="U780">
        <v>3.4</v>
      </c>
      <c r="V780" t="s">
        <v>38</v>
      </c>
      <c r="W780">
        <v>4</v>
      </c>
      <c r="X780" s="1" t="s">
        <v>63</v>
      </c>
    </row>
    <row r="781" spans="1:24" x14ac:dyDescent="0.55000000000000004">
      <c r="A781" s="1" t="s">
        <v>865</v>
      </c>
      <c r="B781" s="1" t="s">
        <v>105</v>
      </c>
      <c r="C781">
        <v>46</v>
      </c>
      <c r="D781" s="1" t="s">
        <v>26</v>
      </c>
      <c r="E781" s="1" t="s">
        <v>71</v>
      </c>
      <c r="F781" s="1" t="s">
        <v>72</v>
      </c>
      <c r="G781" s="1" t="s">
        <v>29</v>
      </c>
      <c r="H781" s="1" t="s">
        <v>65</v>
      </c>
      <c r="I781" s="1" t="s">
        <v>74</v>
      </c>
      <c r="J781" s="1" t="s">
        <v>32</v>
      </c>
      <c r="K781" s="1" t="s">
        <v>46</v>
      </c>
      <c r="L781" s="2">
        <v>45756</v>
      </c>
      <c r="M781" s="2">
        <v>45769</v>
      </c>
      <c r="N781">
        <v>1818894</v>
      </c>
      <c r="O781">
        <v>73162</v>
      </c>
      <c r="P781">
        <v>1745732</v>
      </c>
      <c r="Q781" s="1" t="s">
        <v>34</v>
      </c>
      <c r="R781" s="1" t="s">
        <v>79</v>
      </c>
      <c r="S781" s="1" t="s">
        <v>36</v>
      </c>
      <c r="T781" s="1" t="s">
        <v>36</v>
      </c>
      <c r="U781">
        <v>4.3</v>
      </c>
      <c r="V781" t="s">
        <v>56</v>
      </c>
      <c r="W781">
        <v>4</v>
      </c>
      <c r="X781" s="1" t="s">
        <v>63</v>
      </c>
    </row>
    <row r="782" spans="1:24" x14ac:dyDescent="0.55000000000000004">
      <c r="A782" s="1" t="s">
        <v>866</v>
      </c>
      <c r="B782" s="1" t="s">
        <v>62</v>
      </c>
      <c r="C782">
        <v>33</v>
      </c>
      <c r="D782" s="1" t="s">
        <v>26</v>
      </c>
      <c r="E782" s="1" t="s">
        <v>84</v>
      </c>
      <c r="F782" s="1" t="s">
        <v>85</v>
      </c>
      <c r="G782" s="1" t="s">
        <v>29</v>
      </c>
      <c r="H782" s="1" t="s">
        <v>65</v>
      </c>
      <c r="I782" s="1" t="s">
        <v>45</v>
      </c>
      <c r="J782" s="1" t="s">
        <v>54</v>
      </c>
      <c r="K782" s="1" t="s">
        <v>46</v>
      </c>
      <c r="L782" s="2">
        <v>45992</v>
      </c>
      <c r="M782" s="2">
        <v>46015</v>
      </c>
      <c r="N782">
        <v>1847705</v>
      </c>
      <c r="O782">
        <v>10684</v>
      </c>
      <c r="P782">
        <v>1837021</v>
      </c>
      <c r="Q782" s="1" t="s">
        <v>34</v>
      </c>
      <c r="R782" s="1" t="s">
        <v>48</v>
      </c>
      <c r="S782" s="1" t="s">
        <v>37</v>
      </c>
      <c r="T782" s="1" t="s">
        <v>36</v>
      </c>
      <c r="U782">
        <v>5</v>
      </c>
      <c r="V782" t="s">
        <v>38</v>
      </c>
      <c r="W782">
        <v>12</v>
      </c>
      <c r="X782" s="1" t="s">
        <v>49</v>
      </c>
    </row>
    <row r="783" spans="1:24" x14ac:dyDescent="0.55000000000000004">
      <c r="A783" s="1" t="s">
        <v>867</v>
      </c>
      <c r="B783" s="1" t="s">
        <v>81</v>
      </c>
      <c r="C783">
        <v>23</v>
      </c>
      <c r="D783" s="1" t="s">
        <v>26</v>
      </c>
      <c r="E783" s="1" t="s">
        <v>43</v>
      </c>
      <c r="F783" s="1" t="s">
        <v>44</v>
      </c>
      <c r="G783" s="1" t="s">
        <v>29</v>
      </c>
      <c r="H783" s="1" t="s">
        <v>30</v>
      </c>
      <c r="I783" s="1" t="s">
        <v>74</v>
      </c>
      <c r="J783" s="1" t="s">
        <v>32</v>
      </c>
      <c r="K783" s="1" t="s">
        <v>46</v>
      </c>
      <c r="L783" s="2">
        <v>46124</v>
      </c>
      <c r="M783" s="2">
        <v>46140</v>
      </c>
      <c r="N783">
        <v>1413448</v>
      </c>
      <c r="O783">
        <v>14038</v>
      </c>
      <c r="P783">
        <v>1399410</v>
      </c>
      <c r="Q783" s="1" t="s">
        <v>47</v>
      </c>
      <c r="R783" s="1" t="s">
        <v>35</v>
      </c>
      <c r="S783" s="1" t="s">
        <v>37</v>
      </c>
      <c r="T783" s="1" t="s">
        <v>36</v>
      </c>
      <c r="U783">
        <v>4.7</v>
      </c>
      <c r="V783" t="s">
        <v>56</v>
      </c>
      <c r="W783">
        <v>4</v>
      </c>
      <c r="X783" s="1" t="s">
        <v>63</v>
      </c>
    </row>
    <row r="784" spans="1:24" x14ac:dyDescent="0.55000000000000004">
      <c r="A784" s="1" t="s">
        <v>868</v>
      </c>
      <c r="B784" s="1" t="s">
        <v>25</v>
      </c>
      <c r="C784">
        <v>32</v>
      </c>
      <c r="D784" s="1" t="s">
        <v>42</v>
      </c>
      <c r="E784" s="1" t="s">
        <v>27</v>
      </c>
      <c r="F784" s="1" t="s">
        <v>28</v>
      </c>
      <c r="G784" s="1" t="s">
        <v>29</v>
      </c>
      <c r="H784" s="1" t="s">
        <v>65</v>
      </c>
      <c r="I784" s="1" t="s">
        <v>53</v>
      </c>
      <c r="J784" s="1" t="s">
        <v>32</v>
      </c>
      <c r="K784" s="1" t="s">
        <v>46</v>
      </c>
      <c r="L784" s="2">
        <v>46076</v>
      </c>
      <c r="M784" s="2">
        <v>46093</v>
      </c>
      <c r="N784">
        <v>1489783</v>
      </c>
      <c r="O784">
        <v>52531</v>
      </c>
      <c r="P784">
        <v>1437252</v>
      </c>
      <c r="Q784" s="1" t="s">
        <v>47</v>
      </c>
      <c r="R784" s="1" t="s">
        <v>67</v>
      </c>
      <c r="S784" s="1" t="s">
        <v>37</v>
      </c>
      <c r="T784" s="1" t="s">
        <v>36</v>
      </c>
      <c r="U784">
        <v>4.5</v>
      </c>
      <c r="V784" t="s">
        <v>56</v>
      </c>
      <c r="W784">
        <v>3</v>
      </c>
      <c r="X784" s="1" t="s">
        <v>96</v>
      </c>
    </row>
    <row r="785" spans="1:24" x14ac:dyDescent="0.55000000000000004">
      <c r="A785" s="1" t="s">
        <v>869</v>
      </c>
      <c r="B785" s="1" t="s">
        <v>93</v>
      </c>
      <c r="C785">
        <v>58</v>
      </c>
      <c r="D785" s="1" t="s">
        <v>42</v>
      </c>
      <c r="E785" s="1" t="s">
        <v>90</v>
      </c>
      <c r="F785" s="1" t="s">
        <v>44</v>
      </c>
      <c r="G785" s="1" t="s">
        <v>29</v>
      </c>
      <c r="H785" s="1" t="s">
        <v>65</v>
      </c>
      <c r="I785" s="1" t="s">
        <v>45</v>
      </c>
      <c r="J785" s="1" t="s">
        <v>54</v>
      </c>
      <c r="K785" s="1" t="s">
        <v>33</v>
      </c>
      <c r="L785" s="2">
        <v>45714</v>
      </c>
      <c r="M785" s="2">
        <v>45742</v>
      </c>
      <c r="N785">
        <v>1713368</v>
      </c>
      <c r="O785">
        <v>13511</v>
      </c>
      <c r="P785">
        <v>1699857</v>
      </c>
      <c r="Q785" s="1" t="s">
        <v>78</v>
      </c>
      <c r="R785" s="1" t="s">
        <v>109</v>
      </c>
      <c r="S785" s="1" t="s">
        <v>37</v>
      </c>
      <c r="T785" s="1" t="s">
        <v>36</v>
      </c>
      <c r="U785">
        <v>4.8</v>
      </c>
      <c r="V785" t="s">
        <v>38</v>
      </c>
      <c r="W785">
        <v>3</v>
      </c>
      <c r="X785" s="1" t="s">
        <v>96</v>
      </c>
    </row>
    <row r="786" spans="1:24" x14ac:dyDescent="0.55000000000000004">
      <c r="A786" s="1" t="s">
        <v>870</v>
      </c>
      <c r="B786" s="1" t="s">
        <v>81</v>
      </c>
      <c r="C786">
        <v>48</v>
      </c>
      <c r="D786" s="1" t="s">
        <v>26</v>
      </c>
      <c r="E786" s="1" t="s">
        <v>43</v>
      </c>
      <c r="F786" s="1" t="s">
        <v>44</v>
      </c>
      <c r="G786" s="1" t="s">
        <v>29</v>
      </c>
      <c r="H786" s="1" t="s">
        <v>65</v>
      </c>
      <c r="I786" s="1" t="s">
        <v>74</v>
      </c>
      <c r="J786" s="1" t="s">
        <v>32</v>
      </c>
      <c r="K786" s="1" t="s">
        <v>46</v>
      </c>
      <c r="L786" s="2">
        <v>45686</v>
      </c>
      <c r="M786" s="2">
        <v>45706</v>
      </c>
      <c r="N786">
        <v>1440586</v>
      </c>
      <c r="O786">
        <v>56896</v>
      </c>
      <c r="P786">
        <v>1383690</v>
      </c>
      <c r="Q786" s="1" t="s">
        <v>55</v>
      </c>
      <c r="R786" s="1" t="s">
        <v>67</v>
      </c>
      <c r="S786" s="1" t="s">
        <v>36</v>
      </c>
      <c r="T786" s="1" t="s">
        <v>37</v>
      </c>
      <c r="U786">
        <v>3.3</v>
      </c>
      <c r="V786" t="s">
        <v>56</v>
      </c>
      <c r="W786">
        <v>2</v>
      </c>
      <c r="X786" s="1" t="s">
        <v>107</v>
      </c>
    </row>
    <row r="787" spans="1:24" x14ac:dyDescent="0.55000000000000004">
      <c r="A787" s="1" t="s">
        <v>871</v>
      </c>
      <c r="B787" s="1" t="s">
        <v>62</v>
      </c>
      <c r="C787">
        <v>49</v>
      </c>
      <c r="D787" s="1" t="s">
        <v>42</v>
      </c>
      <c r="E787" s="1" t="s">
        <v>90</v>
      </c>
      <c r="F787" s="1" t="s">
        <v>44</v>
      </c>
      <c r="G787" s="1" t="s">
        <v>29</v>
      </c>
      <c r="H787" s="1" t="s">
        <v>30</v>
      </c>
      <c r="I787" s="1" t="s">
        <v>45</v>
      </c>
      <c r="J787" s="1" t="s">
        <v>54</v>
      </c>
      <c r="K787" s="1" t="s">
        <v>46</v>
      </c>
      <c r="L787" s="2">
        <v>45723</v>
      </c>
      <c r="M787" s="2">
        <v>45760</v>
      </c>
      <c r="N787">
        <v>1877310</v>
      </c>
      <c r="O787">
        <v>24846</v>
      </c>
      <c r="P787">
        <v>1852464</v>
      </c>
      <c r="Q787" s="1" t="s">
        <v>66</v>
      </c>
      <c r="R787" s="1" t="s">
        <v>48</v>
      </c>
      <c r="S787" s="1" t="s">
        <v>36</v>
      </c>
      <c r="T787" s="1" t="s">
        <v>37</v>
      </c>
      <c r="U787">
        <v>4.7</v>
      </c>
      <c r="V787" t="s">
        <v>38</v>
      </c>
      <c r="W787">
        <v>4</v>
      </c>
      <c r="X787" s="1" t="s">
        <v>63</v>
      </c>
    </row>
    <row r="788" spans="1:24" x14ac:dyDescent="0.55000000000000004">
      <c r="A788" s="1" t="s">
        <v>872</v>
      </c>
      <c r="B788" s="1" t="s">
        <v>93</v>
      </c>
      <c r="C788">
        <v>44</v>
      </c>
      <c r="D788" s="1" t="s">
        <v>26</v>
      </c>
      <c r="E788" s="1" t="s">
        <v>43</v>
      </c>
      <c r="F788" s="1" t="s">
        <v>44</v>
      </c>
      <c r="G788" s="1" t="s">
        <v>29</v>
      </c>
      <c r="H788" s="1" t="s">
        <v>65</v>
      </c>
      <c r="I788" s="1" t="s">
        <v>53</v>
      </c>
      <c r="J788" s="1" t="s">
        <v>32</v>
      </c>
      <c r="K788" s="1" t="s">
        <v>33</v>
      </c>
      <c r="L788" s="2">
        <v>46179</v>
      </c>
      <c r="M788" s="2">
        <v>46204</v>
      </c>
      <c r="N788">
        <v>1398229</v>
      </c>
      <c r="O788">
        <v>36181</v>
      </c>
      <c r="P788">
        <v>1362048</v>
      </c>
      <c r="Q788" s="1" t="s">
        <v>78</v>
      </c>
      <c r="R788" s="1" t="s">
        <v>48</v>
      </c>
      <c r="S788" s="1" t="s">
        <v>36</v>
      </c>
      <c r="T788" s="1" t="s">
        <v>37</v>
      </c>
      <c r="U788">
        <v>4.7</v>
      </c>
      <c r="V788" t="s">
        <v>38</v>
      </c>
      <c r="W788">
        <v>7</v>
      </c>
      <c r="X788" s="1" t="s">
        <v>39</v>
      </c>
    </row>
    <row r="789" spans="1:24" x14ac:dyDescent="0.55000000000000004">
      <c r="A789" s="1" t="s">
        <v>873</v>
      </c>
      <c r="B789" s="1" t="s">
        <v>83</v>
      </c>
      <c r="C789">
        <v>40</v>
      </c>
      <c r="D789" s="1" t="s">
        <v>42</v>
      </c>
      <c r="E789" s="1" t="s">
        <v>27</v>
      </c>
      <c r="F789" s="1" t="s">
        <v>28</v>
      </c>
      <c r="G789" s="1" t="s">
        <v>29</v>
      </c>
      <c r="H789" s="1" t="s">
        <v>30</v>
      </c>
      <c r="I789" s="1" t="s">
        <v>45</v>
      </c>
      <c r="J789" s="1" t="s">
        <v>54</v>
      </c>
      <c r="K789" s="1" t="s">
        <v>33</v>
      </c>
      <c r="L789" s="2">
        <v>45689</v>
      </c>
      <c r="M789" s="2">
        <v>45734</v>
      </c>
      <c r="N789">
        <v>1690898</v>
      </c>
      <c r="O789">
        <v>70822</v>
      </c>
      <c r="P789">
        <v>1620076</v>
      </c>
      <c r="Q789" s="1" t="s">
        <v>78</v>
      </c>
      <c r="R789" s="1" t="s">
        <v>79</v>
      </c>
      <c r="S789" s="1" t="s">
        <v>36</v>
      </c>
      <c r="T789" s="1" t="s">
        <v>36</v>
      </c>
      <c r="U789">
        <v>4.9000000000000004</v>
      </c>
      <c r="V789" t="s">
        <v>38</v>
      </c>
      <c r="W789">
        <v>3</v>
      </c>
      <c r="X789" s="1" t="s">
        <v>96</v>
      </c>
    </row>
    <row r="790" spans="1:24" x14ac:dyDescent="0.55000000000000004">
      <c r="A790" s="1" t="s">
        <v>874</v>
      </c>
      <c r="B790" s="1" t="s">
        <v>41</v>
      </c>
      <c r="C790">
        <v>56</v>
      </c>
      <c r="D790" s="1" t="s">
        <v>42</v>
      </c>
      <c r="E790" s="1" t="s">
        <v>71</v>
      </c>
      <c r="F790" s="1" t="s">
        <v>72</v>
      </c>
      <c r="G790" s="1" t="s">
        <v>29</v>
      </c>
      <c r="H790" s="1" t="s">
        <v>30</v>
      </c>
      <c r="I790" s="1" t="s">
        <v>31</v>
      </c>
      <c r="J790" s="1" t="s">
        <v>54</v>
      </c>
      <c r="K790" s="1" t="s">
        <v>33</v>
      </c>
      <c r="L790" s="2">
        <v>46179</v>
      </c>
      <c r="M790" s="2">
        <v>46202</v>
      </c>
      <c r="N790">
        <v>1865020</v>
      </c>
      <c r="O790">
        <v>11870</v>
      </c>
      <c r="P790">
        <v>1853150</v>
      </c>
      <c r="Q790" s="1" t="s">
        <v>34</v>
      </c>
      <c r="R790" s="1" t="s">
        <v>79</v>
      </c>
      <c r="S790" s="1" t="s">
        <v>36</v>
      </c>
      <c r="T790" s="1" t="s">
        <v>36</v>
      </c>
      <c r="U790">
        <v>3.4</v>
      </c>
      <c r="V790" t="s">
        <v>38</v>
      </c>
      <c r="W790">
        <v>6</v>
      </c>
      <c r="X790" s="1" t="s">
        <v>68</v>
      </c>
    </row>
    <row r="791" spans="1:24" x14ac:dyDescent="0.55000000000000004">
      <c r="A791" s="1" t="s">
        <v>875</v>
      </c>
      <c r="B791" s="1" t="s">
        <v>93</v>
      </c>
      <c r="C791">
        <v>24</v>
      </c>
      <c r="D791" s="1" t="s">
        <v>42</v>
      </c>
      <c r="E791" s="1" t="s">
        <v>71</v>
      </c>
      <c r="F791" s="1" t="s">
        <v>72</v>
      </c>
      <c r="G791" s="1" t="s">
        <v>29</v>
      </c>
      <c r="H791" s="1" t="s">
        <v>65</v>
      </c>
      <c r="I791" s="1" t="s">
        <v>59</v>
      </c>
      <c r="J791" s="1" t="s">
        <v>54</v>
      </c>
      <c r="K791" s="1" t="s">
        <v>46</v>
      </c>
      <c r="L791" s="2">
        <v>45746</v>
      </c>
      <c r="M791" s="2">
        <v>45753</v>
      </c>
      <c r="N791">
        <v>1839446</v>
      </c>
      <c r="O791">
        <v>83817</v>
      </c>
      <c r="P791">
        <v>1755629</v>
      </c>
      <c r="Q791" s="1" t="s">
        <v>55</v>
      </c>
      <c r="R791" s="1" t="s">
        <v>67</v>
      </c>
      <c r="S791" s="1" t="s">
        <v>36</v>
      </c>
      <c r="T791" s="1" t="s">
        <v>37</v>
      </c>
      <c r="U791">
        <v>4.8</v>
      </c>
      <c r="V791" t="s">
        <v>91</v>
      </c>
      <c r="W791">
        <v>4</v>
      </c>
      <c r="X791" s="1" t="s">
        <v>63</v>
      </c>
    </row>
    <row r="792" spans="1:24" x14ac:dyDescent="0.55000000000000004">
      <c r="A792" s="1" t="s">
        <v>876</v>
      </c>
      <c r="B792" s="1" t="s">
        <v>105</v>
      </c>
      <c r="C792">
        <v>41</v>
      </c>
      <c r="D792" s="1" t="s">
        <v>42</v>
      </c>
      <c r="E792" s="1" t="s">
        <v>43</v>
      </c>
      <c r="F792" s="1" t="s">
        <v>44</v>
      </c>
      <c r="G792" s="1" t="s">
        <v>29</v>
      </c>
      <c r="H792" s="1" t="s">
        <v>65</v>
      </c>
      <c r="I792" s="1" t="s">
        <v>45</v>
      </c>
      <c r="J792" s="1" t="s">
        <v>32</v>
      </c>
      <c r="K792" s="1" t="s">
        <v>33</v>
      </c>
      <c r="L792" s="2">
        <v>45862</v>
      </c>
      <c r="M792" s="2">
        <v>45903</v>
      </c>
      <c r="N792">
        <v>1334533</v>
      </c>
      <c r="O792">
        <v>25842</v>
      </c>
      <c r="P792">
        <v>1308691</v>
      </c>
      <c r="Q792" s="1" t="s">
        <v>34</v>
      </c>
      <c r="R792" s="1" t="s">
        <v>109</v>
      </c>
      <c r="S792" s="1" t="s">
        <v>37</v>
      </c>
      <c r="T792" s="1" t="s">
        <v>36</v>
      </c>
      <c r="U792">
        <v>4</v>
      </c>
      <c r="V792" t="s">
        <v>38</v>
      </c>
      <c r="W792">
        <v>9</v>
      </c>
      <c r="X792" s="1" t="s">
        <v>103</v>
      </c>
    </row>
    <row r="793" spans="1:24" x14ac:dyDescent="0.55000000000000004">
      <c r="A793" s="1" t="s">
        <v>877</v>
      </c>
      <c r="B793" s="1" t="s">
        <v>93</v>
      </c>
      <c r="C793">
        <v>41</v>
      </c>
      <c r="D793" s="1" t="s">
        <v>26</v>
      </c>
      <c r="E793" s="1" t="s">
        <v>84</v>
      </c>
      <c r="F793" s="1" t="s">
        <v>85</v>
      </c>
      <c r="G793" s="1" t="s">
        <v>29</v>
      </c>
      <c r="H793" s="1" t="s">
        <v>30</v>
      </c>
      <c r="I793" s="1" t="s">
        <v>53</v>
      </c>
      <c r="J793" s="1" t="s">
        <v>54</v>
      </c>
      <c r="K793" s="1" t="s">
        <v>46</v>
      </c>
      <c r="L793" s="2">
        <v>45883</v>
      </c>
      <c r="M793" s="2">
        <v>45897</v>
      </c>
      <c r="N793">
        <v>1487337</v>
      </c>
      <c r="O793">
        <v>32861</v>
      </c>
      <c r="P793">
        <v>1454476</v>
      </c>
      <c r="Q793" s="1" t="s">
        <v>66</v>
      </c>
      <c r="R793" s="1" t="s">
        <v>79</v>
      </c>
      <c r="S793" s="1" t="s">
        <v>37</v>
      </c>
      <c r="T793" s="1" t="s">
        <v>37</v>
      </c>
      <c r="U793">
        <v>4.2</v>
      </c>
      <c r="V793" t="s">
        <v>56</v>
      </c>
      <c r="W793">
        <v>8</v>
      </c>
      <c r="X793" s="1" t="s">
        <v>57</v>
      </c>
    </row>
    <row r="794" spans="1:24" x14ac:dyDescent="0.55000000000000004">
      <c r="A794" s="1" t="s">
        <v>878</v>
      </c>
      <c r="B794" s="1" t="s">
        <v>70</v>
      </c>
      <c r="C794">
        <v>55</v>
      </c>
      <c r="D794" s="1" t="s">
        <v>42</v>
      </c>
      <c r="E794" s="1" t="s">
        <v>43</v>
      </c>
      <c r="F794" s="1" t="s">
        <v>44</v>
      </c>
      <c r="G794" s="1" t="s">
        <v>29</v>
      </c>
      <c r="H794" s="1" t="s">
        <v>65</v>
      </c>
      <c r="I794" s="1" t="s">
        <v>53</v>
      </c>
      <c r="J794" s="1" t="s">
        <v>32</v>
      </c>
      <c r="K794" s="1" t="s">
        <v>33</v>
      </c>
      <c r="L794" s="2">
        <v>46180</v>
      </c>
      <c r="M794" s="2">
        <v>46207</v>
      </c>
      <c r="N794">
        <v>1303806</v>
      </c>
      <c r="O794">
        <v>54742</v>
      </c>
      <c r="P794">
        <v>1249064</v>
      </c>
      <c r="Q794" s="1" t="s">
        <v>66</v>
      </c>
      <c r="R794" s="1" t="s">
        <v>35</v>
      </c>
      <c r="S794" s="1" t="s">
        <v>36</v>
      </c>
      <c r="T794" s="1" t="s">
        <v>37</v>
      </c>
      <c r="U794">
        <v>3.8</v>
      </c>
      <c r="V794" t="s">
        <v>38</v>
      </c>
      <c r="W794">
        <v>7</v>
      </c>
      <c r="X794" s="1" t="s">
        <v>39</v>
      </c>
    </row>
    <row r="795" spans="1:24" x14ac:dyDescent="0.55000000000000004">
      <c r="A795" s="1" t="s">
        <v>879</v>
      </c>
      <c r="B795" s="1" t="s">
        <v>62</v>
      </c>
      <c r="C795">
        <v>52</v>
      </c>
      <c r="D795" s="1" t="s">
        <v>42</v>
      </c>
      <c r="E795" s="1" t="s">
        <v>52</v>
      </c>
      <c r="F795" s="1" t="s">
        <v>44</v>
      </c>
      <c r="G795" s="1" t="s">
        <v>29</v>
      </c>
      <c r="H795" s="1" t="s">
        <v>30</v>
      </c>
      <c r="I795" s="1" t="s">
        <v>53</v>
      </c>
      <c r="J795" s="1" t="s">
        <v>54</v>
      </c>
      <c r="K795" s="1" t="s">
        <v>46</v>
      </c>
      <c r="L795" s="2">
        <v>45734</v>
      </c>
      <c r="M795" s="2">
        <v>45779</v>
      </c>
      <c r="N795">
        <v>1831454</v>
      </c>
      <c r="O795">
        <v>82039</v>
      </c>
      <c r="P795">
        <v>1749415</v>
      </c>
      <c r="Q795" s="1" t="s">
        <v>66</v>
      </c>
      <c r="R795" s="1" t="s">
        <v>67</v>
      </c>
      <c r="S795" s="1" t="s">
        <v>37</v>
      </c>
      <c r="T795" s="1" t="s">
        <v>36</v>
      </c>
      <c r="U795">
        <v>3.8</v>
      </c>
      <c r="V795" t="s">
        <v>38</v>
      </c>
      <c r="W795">
        <v>5</v>
      </c>
      <c r="X795" s="1" t="s">
        <v>86</v>
      </c>
    </row>
    <row r="796" spans="1:24" x14ac:dyDescent="0.55000000000000004">
      <c r="A796" s="1" t="s">
        <v>880</v>
      </c>
      <c r="B796" s="1" t="s">
        <v>70</v>
      </c>
      <c r="C796">
        <v>29</v>
      </c>
      <c r="D796" s="1" t="s">
        <v>42</v>
      </c>
      <c r="E796" s="1" t="s">
        <v>43</v>
      </c>
      <c r="F796" s="1" t="s">
        <v>44</v>
      </c>
      <c r="G796" s="1" t="s">
        <v>29</v>
      </c>
      <c r="H796" s="1" t="s">
        <v>65</v>
      </c>
      <c r="I796" s="1" t="s">
        <v>31</v>
      </c>
      <c r="J796" s="1" t="s">
        <v>32</v>
      </c>
      <c r="K796" s="1" t="s">
        <v>33</v>
      </c>
      <c r="L796" s="2">
        <v>45927</v>
      </c>
      <c r="M796" s="2">
        <v>45952</v>
      </c>
      <c r="N796">
        <v>1457265</v>
      </c>
      <c r="O796">
        <v>59437</v>
      </c>
      <c r="P796">
        <v>1397828</v>
      </c>
      <c r="Q796" s="1" t="s">
        <v>55</v>
      </c>
      <c r="R796" s="1" t="s">
        <v>35</v>
      </c>
      <c r="S796" s="1" t="s">
        <v>37</v>
      </c>
      <c r="T796" s="1" t="s">
        <v>36</v>
      </c>
      <c r="U796">
        <v>4.4000000000000004</v>
      </c>
      <c r="V796" t="s">
        <v>38</v>
      </c>
      <c r="W796">
        <v>10</v>
      </c>
      <c r="X796" s="1" t="s">
        <v>75</v>
      </c>
    </row>
    <row r="797" spans="1:24" x14ac:dyDescent="0.55000000000000004">
      <c r="A797" s="1" t="s">
        <v>881</v>
      </c>
      <c r="B797" s="1" t="s">
        <v>81</v>
      </c>
      <c r="C797">
        <v>55</v>
      </c>
      <c r="D797" s="1" t="s">
        <v>42</v>
      </c>
      <c r="E797" s="1" t="s">
        <v>90</v>
      </c>
      <c r="F797" s="1" t="s">
        <v>44</v>
      </c>
      <c r="G797" s="1" t="s">
        <v>29</v>
      </c>
      <c r="H797" s="1" t="s">
        <v>65</v>
      </c>
      <c r="I797" s="1" t="s">
        <v>74</v>
      </c>
      <c r="J797" s="1" t="s">
        <v>32</v>
      </c>
      <c r="K797" s="1" t="s">
        <v>46</v>
      </c>
      <c r="L797" s="2">
        <v>45788</v>
      </c>
      <c r="M797" s="2">
        <v>45812</v>
      </c>
      <c r="N797">
        <v>1316338</v>
      </c>
      <c r="O797">
        <v>53256</v>
      </c>
      <c r="P797">
        <v>1263082</v>
      </c>
      <c r="Q797" s="1" t="s">
        <v>66</v>
      </c>
      <c r="R797" s="1" t="s">
        <v>79</v>
      </c>
      <c r="S797" s="1" t="s">
        <v>36</v>
      </c>
      <c r="T797" s="1" t="s">
        <v>37</v>
      </c>
      <c r="U797">
        <v>4.4000000000000004</v>
      </c>
      <c r="V797" t="s">
        <v>38</v>
      </c>
      <c r="W797">
        <v>6</v>
      </c>
      <c r="X797" s="1" t="s">
        <v>68</v>
      </c>
    </row>
    <row r="798" spans="1:24" x14ac:dyDescent="0.55000000000000004">
      <c r="A798" s="1" t="s">
        <v>882</v>
      </c>
      <c r="B798" s="1" t="s">
        <v>41</v>
      </c>
      <c r="C798">
        <v>44</v>
      </c>
      <c r="D798" s="1" t="s">
        <v>26</v>
      </c>
      <c r="E798" s="1" t="s">
        <v>52</v>
      </c>
      <c r="F798" s="1" t="s">
        <v>44</v>
      </c>
      <c r="G798" s="1" t="s">
        <v>29</v>
      </c>
      <c r="H798" s="1" t="s">
        <v>30</v>
      </c>
      <c r="I798" s="1" t="s">
        <v>53</v>
      </c>
      <c r="J798" s="1" t="s">
        <v>32</v>
      </c>
      <c r="K798" s="1" t="s">
        <v>46</v>
      </c>
      <c r="L798" s="2">
        <v>46000</v>
      </c>
      <c r="M798" s="2">
        <v>46035</v>
      </c>
      <c r="N798">
        <v>1627477</v>
      </c>
      <c r="O798">
        <v>66498</v>
      </c>
      <c r="P798">
        <v>1560979</v>
      </c>
      <c r="Q798" s="1" t="s">
        <v>55</v>
      </c>
      <c r="R798" s="1" t="s">
        <v>35</v>
      </c>
      <c r="S798" s="1" t="s">
        <v>36</v>
      </c>
      <c r="T798" s="1" t="s">
        <v>37</v>
      </c>
      <c r="U798">
        <v>4</v>
      </c>
      <c r="V798" t="s">
        <v>38</v>
      </c>
      <c r="W798">
        <v>1</v>
      </c>
      <c r="X798" s="1" t="s">
        <v>88</v>
      </c>
    </row>
    <row r="799" spans="1:24" x14ac:dyDescent="0.55000000000000004">
      <c r="A799" s="1" t="s">
        <v>883</v>
      </c>
      <c r="B799" s="1" t="s">
        <v>81</v>
      </c>
      <c r="C799">
        <v>22</v>
      </c>
      <c r="D799" s="1" t="s">
        <v>42</v>
      </c>
      <c r="E799" s="1" t="s">
        <v>43</v>
      </c>
      <c r="F799" s="1" t="s">
        <v>44</v>
      </c>
      <c r="G799" s="1" t="s">
        <v>29</v>
      </c>
      <c r="H799" s="1" t="s">
        <v>77</v>
      </c>
      <c r="I799" s="1" t="s">
        <v>74</v>
      </c>
      <c r="J799" s="1" t="s">
        <v>54</v>
      </c>
      <c r="K799" s="1" t="s">
        <v>46</v>
      </c>
      <c r="L799" s="2">
        <v>46039</v>
      </c>
      <c r="M799" s="2">
        <v>46054</v>
      </c>
      <c r="N799">
        <v>1405249</v>
      </c>
      <c r="O799">
        <v>53024</v>
      </c>
      <c r="P799">
        <v>1352225</v>
      </c>
      <c r="Q799" s="1" t="s">
        <v>47</v>
      </c>
      <c r="R799" s="1" t="s">
        <v>35</v>
      </c>
      <c r="S799" s="1" t="s">
        <v>36</v>
      </c>
      <c r="T799" s="1" t="s">
        <v>36</v>
      </c>
      <c r="U799">
        <v>4.7</v>
      </c>
      <c r="V799" t="s">
        <v>56</v>
      </c>
      <c r="W799">
        <v>2</v>
      </c>
      <c r="X799" s="1" t="s">
        <v>107</v>
      </c>
    </row>
    <row r="800" spans="1:24" x14ac:dyDescent="0.55000000000000004">
      <c r="A800" s="1" t="s">
        <v>884</v>
      </c>
      <c r="B800" s="1" t="s">
        <v>83</v>
      </c>
      <c r="C800">
        <v>28</v>
      </c>
      <c r="D800" s="1" t="s">
        <v>26</v>
      </c>
      <c r="E800" s="1" t="s">
        <v>52</v>
      </c>
      <c r="F800" s="1" t="s">
        <v>44</v>
      </c>
      <c r="G800" s="1" t="s">
        <v>29</v>
      </c>
      <c r="H800" s="1" t="s">
        <v>77</v>
      </c>
      <c r="I800" s="1" t="s">
        <v>45</v>
      </c>
      <c r="J800" s="1" t="s">
        <v>54</v>
      </c>
      <c r="K800" s="1" t="s">
        <v>46</v>
      </c>
      <c r="L800" s="2">
        <v>45915</v>
      </c>
      <c r="M800" s="2">
        <v>45931</v>
      </c>
      <c r="N800">
        <v>1718541</v>
      </c>
      <c r="O800">
        <v>17359</v>
      </c>
      <c r="P800">
        <v>1701182</v>
      </c>
      <c r="Q800" s="1" t="s">
        <v>66</v>
      </c>
      <c r="R800" s="1" t="s">
        <v>79</v>
      </c>
      <c r="S800" s="1" t="s">
        <v>37</v>
      </c>
      <c r="T800" s="1" t="s">
        <v>36</v>
      </c>
      <c r="U800">
        <v>4.7</v>
      </c>
      <c r="V800" t="s">
        <v>56</v>
      </c>
      <c r="W800">
        <v>10</v>
      </c>
      <c r="X800" s="1" t="s">
        <v>75</v>
      </c>
    </row>
    <row r="801" spans="1:24" x14ac:dyDescent="0.55000000000000004">
      <c r="A801" s="1" t="s">
        <v>885</v>
      </c>
      <c r="B801" s="1" t="s">
        <v>83</v>
      </c>
      <c r="C801">
        <v>60</v>
      </c>
      <c r="D801" s="1" t="s">
        <v>42</v>
      </c>
      <c r="E801" s="1" t="s">
        <v>52</v>
      </c>
      <c r="F801" s="1" t="s">
        <v>44</v>
      </c>
      <c r="G801" s="1" t="s">
        <v>29</v>
      </c>
      <c r="H801" s="1" t="s">
        <v>65</v>
      </c>
      <c r="I801" s="1" t="s">
        <v>74</v>
      </c>
      <c r="J801" s="1" t="s">
        <v>54</v>
      </c>
      <c r="K801" s="1" t="s">
        <v>33</v>
      </c>
      <c r="L801" s="2">
        <v>46185</v>
      </c>
      <c r="M801" s="2">
        <v>46214</v>
      </c>
      <c r="N801">
        <v>1387359</v>
      </c>
      <c r="O801">
        <v>40404</v>
      </c>
      <c r="P801">
        <v>1346955</v>
      </c>
      <c r="Q801" s="1" t="s">
        <v>55</v>
      </c>
      <c r="R801" s="1" t="s">
        <v>35</v>
      </c>
      <c r="S801" s="1" t="s">
        <v>36</v>
      </c>
      <c r="T801" s="1" t="s">
        <v>37</v>
      </c>
      <c r="U801">
        <v>4.4000000000000004</v>
      </c>
      <c r="V801" t="s">
        <v>38</v>
      </c>
      <c r="W801">
        <v>7</v>
      </c>
      <c r="X801" s="1" t="s">
        <v>39</v>
      </c>
    </row>
    <row r="802" spans="1:24" x14ac:dyDescent="0.55000000000000004">
      <c r="A802" s="1" t="s">
        <v>886</v>
      </c>
      <c r="B802" s="1" t="s">
        <v>51</v>
      </c>
      <c r="C802">
        <v>29</v>
      </c>
      <c r="D802" s="1" t="s">
        <v>26</v>
      </c>
      <c r="E802" s="1" t="s">
        <v>27</v>
      </c>
      <c r="F802" s="1" t="s">
        <v>28</v>
      </c>
      <c r="G802" s="1" t="s">
        <v>29</v>
      </c>
      <c r="H802" s="1" t="s">
        <v>30</v>
      </c>
      <c r="I802" s="1" t="s">
        <v>53</v>
      </c>
      <c r="J802" s="1" t="s">
        <v>32</v>
      </c>
      <c r="K802" s="1" t="s">
        <v>46</v>
      </c>
      <c r="L802" s="2">
        <v>46029</v>
      </c>
      <c r="M802" s="2">
        <v>46046</v>
      </c>
      <c r="N802">
        <v>1578984</v>
      </c>
      <c r="O802">
        <v>94618</v>
      </c>
      <c r="P802">
        <v>1484366</v>
      </c>
      <c r="Q802" s="1" t="s">
        <v>34</v>
      </c>
      <c r="R802" s="1" t="s">
        <v>67</v>
      </c>
      <c r="S802" s="1" t="s">
        <v>36</v>
      </c>
      <c r="T802" s="1" t="s">
        <v>37</v>
      </c>
      <c r="U802">
        <v>3.7</v>
      </c>
      <c r="V802" t="s">
        <v>56</v>
      </c>
      <c r="W802">
        <v>1</v>
      </c>
      <c r="X802" s="1" t="s">
        <v>88</v>
      </c>
    </row>
    <row r="803" spans="1:24" x14ac:dyDescent="0.55000000000000004">
      <c r="A803" s="1" t="s">
        <v>887</v>
      </c>
      <c r="B803" s="1" t="s">
        <v>25</v>
      </c>
      <c r="C803">
        <v>31</v>
      </c>
      <c r="D803" s="1" t="s">
        <v>26</v>
      </c>
      <c r="E803" s="1" t="s">
        <v>71</v>
      </c>
      <c r="F803" s="1" t="s">
        <v>72</v>
      </c>
      <c r="G803" s="1" t="s">
        <v>29</v>
      </c>
      <c r="H803" s="1" t="s">
        <v>30</v>
      </c>
      <c r="I803" s="1" t="s">
        <v>74</v>
      </c>
      <c r="J803" s="1" t="s">
        <v>32</v>
      </c>
      <c r="K803" s="1" t="s">
        <v>46</v>
      </c>
      <c r="L803" s="2">
        <v>45844</v>
      </c>
      <c r="M803" s="2">
        <v>45889</v>
      </c>
      <c r="N803">
        <v>1780523</v>
      </c>
      <c r="O803">
        <v>56120</v>
      </c>
      <c r="P803">
        <v>1724403</v>
      </c>
      <c r="Q803" s="1" t="s">
        <v>47</v>
      </c>
      <c r="R803" s="1" t="s">
        <v>79</v>
      </c>
      <c r="S803" s="1" t="s">
        <v>37</v>
      </c>
      <c r="T803" s="1" t="s">
        <v>37</v>
      </c>
      <c r="U803">
        <v>4</v>
      </c>
      <c r="V803" t="s">
        <v>38</v>
      </c>
      <c r="W803">
        <v>8</v>
      </c>
      <c r="X803" s="1" t="s">
        <v>57</v>
      </c>
    </row>
    <row r="804" spans="1:24" x14ac:dyDescent="0.55000000000000004">
      <c r="A804" s="1" t="s">
        <v>888</v>
      </c>
      <c r="B804" s="1" t="s">
        <v>62</v>
      </c>
      <c r="C804">
        <v>59</v>
      </c>
      <c r="D804" s="1" t="s">
        <v>42</v>
      </c>
      <c r="E804" s="1" t="s">
        <v>27</v>
      </c>
      <c r="F804" s="1" t="s">
        <v>28</v>
      </c>
      <c r="G804" s="1" t="s">
        <v>29</v>
      </c>
      <c r="H804" s="1" t="s">
        <v>77</v>
      </c>
      <c r="I804" s="1" t="s">
        <v>53</v>
      </c>
      <c r="J804" s="1" t="s">
        <v>32</v>
      </c>
      <c r="K804" s="1" t="s">
        <v>46</v>
      </c>
      <c r="L804" s="2">
        <v>45696</v>
      </c>
      <c r="M804" s="2">
        <v>45713</v>
      </c>
      <c r="N804">
        <v>1308339</v>
      </c>
      <c r="O804">
        <v>17994</v>
      </c>
      <c r="P804">
        <v>1290345</v>
      </c>
      <c r="Q804" s="1" t="s">
        <v>34</v>
      </c>
      <c r="R804" s="1" t="s">
        <v>35</v>
      </c>
      <c r="S804" s="1" t="s">
        <v>37</v>
      </c>
      <c r="T804" s="1" t="s">
        <v>36</v>
      </c>
      <c r="U804">
        <v>4.5</v>
      </c>
      <c r="V804" t="s">
        <v>56</v>
      </c>
      <c r="W804">
        <v>2</v>
      </c>
      <c r="X804" s="1" t="s">
        <v>107</v>
      </c>
    </row>
    <row r="805" spans="1:24" x14ac:dyDescent="0.55000000000000004">
      <c r="A805" s="1" t="s">
        <v>889</v>
      </c>
      <c r="B805" s="1" t="s">
        <v>70</v>
      </c>
      <c r="C805">
        <v>56</v>
      </c>
      <c r="D805" s="1" t="s">
        <v>42</v>
      </c>
      <c r="E805" s="1" t="s">
        <v>52</v>
      </c>
      <c r="F805" s="1" t="s">
        <v>44</v>
      </c>
      <c r="G805" s="1" t="s">
        <v>29</v>
      </c>
      <c r="H805" s="1" t="s">
        <v>65</v>
      </c>
      <c r="I805" s="1" t="s">
        <v>45</v>
      </c>
      <c r="J805" s="1" t="s">
        <v>32</v>
      </c>
      <c r="K805" s="1" t="s">
        <v>46</v>
      </c>
      <c r="L805" s="2">
        <v>45841</v>
      </c>
      <c r="M805" s="2">
        <v>45867</v>
      </c>
      <c r="N805">
        <v>1833206</v>
      </c>
      <c r="O805">
        <v>68519</v>
      </c>
      <c r="P805">
        <v>1764687</v>
      </c>
      <c r="Q805" s="1" t="s">
        <v>47</v>
      </c>
      <c r="R805" s="1" t="s">
        <v>79</v>
      </c>
      <c r="S805" s="1" t="s">
        <v>36</v>
      </c>
      <c r="T805" s="1" t="s">
        <v>36</v>
      </c>
      <c r="U805">
        <v>4.4000000000000004</v>
      </c>
      <c r="V805" t="s">
        <v>38</v>
      </c>
      <c r="W805">
        <v>7</v>
      </c>
      <c r="X805" s="1" t="s">
        <v>39</v>
      </c>
    </row>
    <row r="806" spans="1:24" x14ac:dyDescent="0.55000000000000004">
      <c r="A806" s="1" t="s">
        <v>890</v>
      </c>
      <c r="B806" s="1" t="s">
        <v>98</v>
      </c>
      <c r="C806">
        <v>55</v>
      </c>
      <c r="D806" s="1" t="s">
        <v>26</v>
      </c>
      <c r="E806" s="1" t="s">
        <v>71</v>
      </c>
      <c r="F806" s="1" t="s">
        <v>72</v>
      </c>
      <c r="G806" s="1" t="s">
        <v>29</v>
      </c>
      <c r="H806" s="1" t="s">
        <v>30</v>
      </c>
      <c r="I806" s="1" t="s">
        <v>31</v>
      </c>
      <c r="J806" s="1" t="s">
        <v>54</v>
      </c>
      <c r="K806" s="1" t="s">
        <v>46</v>
      </c>
      <c r="L806" s="2">
        <v>45922</v>
      </c>
      <c r="M806" s="2">
        <v>45965</v>
      </c>
      <c r="N806">
        <v>1771278</v>
      </c>
      <c r="O806">
        <v>42360</v>
      </c>
      <c r="P806">
        <v>1728918</v>
      </c>
      <c r="Q806" s="1" t="s">
        <v>66</v>
      </c>
      <c r="R806" s="1" t="s">
        <v>79</v>
      </c>
      <c r="S806" s="1" t="s">
        <v>37</v>
      </c>
      <c r="T806" s="1" t="s">
        <v>36</v>
      </c>
      <c r="U806">
        <v>4.5</v>
      </c>
      <c r="V806" t="s">
        <v>38</v>
      </c>
      <c r="W806">
        <v>11</v>
      </c>
      <c r="X806" s="1" t="s">
        <v>60</v>
      </c>
    </row>
    <row r="807" spans="1:24" x14ac:dyDescent="0.55000000000000004">
      <c r="A807" s="1" t="s">
        <v>891</v>
      </c>
      <c r="B807" s="1" t="s">
        <v>105</v>
      </c>
      <c r="C807">
        <v>24</v>
      </c>
      <c r="D807" s="1" t="s">
        <v>26</v>
      </c>
      <c r="E807" s="1" t="s">
        <v>90</v>
      </c>
      <c r="F807" s="1" t="s">
        <v>44</v>
      </c>
      <c r="G807" s="1" t="s">
        <v>29</v>
      </c>
      <c r="H807" s="1" t="s">
        <v>77</v>
      </c>
      <c r="I807" s="1" t="s">
        <v>31</v>
      </c>
      <c r="J807" s="1" t="s">
        <v>32</v>
      </c>
      <c r="K807" s="1" t="s">
        <v>33</v>
      </c>
      <c r="L807" s="2">
        <v>45794</v>
      </c>
      <c r="M807" s="2">
        <v>45839</v>
      </c>
      <c r="N807">
        <v>1562631</v>
      </c>
      <c r="O807">
        <v>70171</v>
      </c>
      <c r="P807">
        <v>1492460</v>
      </c>
      <c r="Q807" s="1" t="s">
        <v>47</v>
      </c>
      <c r="R807" s="1" t="s">
        <v>35</v>
      </c>
      <c r="S807" s="1" t="s">
        <v>37</v>
      </c>
      <c r="T807" s="1" t="s">
        <v>37</v>
      </c>
      <c r="U807">
        <v>3.4</v>
      </c>
      <c r="V807" t="s">
        <v>38</v>
      </c>
      <c r="W807">
        <v>7</v>
      </c>
      <c r="X807" s="1" t="s">
        <v>39</v>
      </c>
    </row>
    <row r="808" spans="1:24" x14ac:dyDescent="0.55000000000000004">
      <c r="A808" s="1" t="s">
        <v>892</v>
      </c>
      <c r="B808" s="1" t="s">
        <v>62</v>
      </c>
      <c r="C808">
        <v>30</v>
      </c>
      <c r="D808" s="1" t="s">
        <v>42</v>
      </c>
      <c r="E808" s="1" t="s">
        <v>84</v>
      </c>
      <c r="F808" s="1" t="s">
        <v>85</v>
      </c>
      <c r="G808" s="1" t="s">
        <v>29</v>
      </c>
      <c r="H808" s="1" t="s">
        <v>77</v>
      </c>
      <c r="I808" s="1" t="s">
        <v>74</v>
      </c>
      <c r="J808" s="1" t="s">
        <v>54</v>
      </c>
      <c r="K808" s="1" t="s">
        <v>46</v>
      </c>
      <c r="L808" s="2">
        <v>46141</v>
      </c>
      <c r="M808" s="2">
        <v>46178</v>
      </c>
      <c r="N808">
        <v>1632854</v>
      </c>
      <c r="O808">
        <v>37799</v>
      </c>
      <c r="P808">
        <v>1595055</v>
      </c>
      <c r="Q808" s="1" t="s">
        <v>55</v>
      </c>
      <c r="R808" s="1" t="s">
        <v>35</v>
      </c>
      <c r="S808" s="1" t="s">
        <v>37</v>
      </c>
      <c r="T808" s="1" t="s">
        <v>37</v>
      </c>
      <c r="U808">
        <v>4.7</v>
      </c>
      <c r="V808" t="s">
        <v>38</v>
      </c>
      <c r="W808">
        <v>6</v>
      </c>
      <c r="X808" s="1" t="s">
        <v>68</v>
      </c>
    </row>
    <row r="809" spans="1:24" x14ac:dyDescent="0.55000000000000004">
      <c r="A809" s="1" t="s">
        <v>893</v>
      </c>
      <c r="B809" s="1" t="s">
        <v>93</v>
      </c>
      <c r="C809">
        <v>48</v>
      </c>
      <c r="D809" s="1" t="s">
        <v>42</v>
      </c>
      <c r="E809" s="1" t="s">
        <v>27</v>
      </c>
      <c r="F809" s="1" t="s">
        <v>28</v>
      </c>
      <c r="G809" s="1" t="s">
        <v>29</v>
      </c>
      <c r="H809" s="1" t="s">
        <v>30</v>
      </c>
      <c r="I809" s="1" t="s">
        <v>31</v>
      </c>
      <c r="J809" s="1" t="s">
        <v>54</v>
      </c>
      <c r="K809" s="1" t="s">
        <v>46</v>
      </c>
      <c r="L809" s="2">
        <v>46068</v>
      </c>
      <c r="M809" s="2">
        <v>46100</v>
      </c>
      <c r="N809">
        <v>1854831</v>
      </c>
      <c r="O809">
        <v>15813</v>
      </c>
      <c r="P809">
        <v>1839018</v>
      </c>
      <c r="Q809" s="1" t="s">
        <v>78</v>
      </c>
      <c r="R809" s="1" t="s">
        <v>79</v>
      </c>
      <c r="S809" s="1" t="s">
        <v>37</v>
      </c>
      <c r="T809" s="1" t="s">
        <v>37</v>
      </c>
      <c r="U809">
        <v>3.9</v>
      </c>
      <c r="V809" t="s">
        <v>38</v>
      </c>
      <c r="W809">
        <v>3</v>
      </c>
      <c r="X809" s="1" t="s">
        <v>96</v>
      </c>
    </row>
    <row r="810" spans="1:24" x14ac:dyDescent="0.55000000000000004">
      <c r="A810" s="1" t="s">
        <v>894</v>
      </c>
      <c r="B810" s="1" t="s">
        <v>93</v>
      </c>
      <c r="C810">
        <v>43</v>
      </c>
      <c r="D810" s="1" t="s">
        <v>26</v>
      </c>
      <c r="E810" s="1" t="s">
        <v>71</v>
      </c>
      <c r="F810" s="1" t="s">
        <v>72</v>
      </c>
      <c r="G810" s="1" t="s">
        <v>29</v>
      </c>
      <c r="H810" s="1" t="s">
        <v>30</v>
      </c>
      <c r="I810" s="1" t="s">
        <v>31</v>
      </c>
      <c r="J810" s="1" t="s">
        <v>32</v>
      </c>
      <c r="K810" s="1" t="s">
        <v>46</v>
      </c>
      <c r="L810" s="2">
        <v>46039</v>
      </c>
      <c r="M810" s="2">
        <v>46051</v>
      </c>
      <c r="N810">
        <v>1312200</v>
      </c>
      <c r="O810">
        <v>52583</v>
      </c>
      <c r="P810">
        <v>1259617</v>
      </c>
      <c r="Q810" s="1" t="s">
        <v>78</v>
      </c>
      <c r="R810" s="1" t="s">
        <v>79</v>
      </c>
      <c r="S810" s="1" t="s">
        <v>37</v>
      </c>
      <c r="T810" s="1" t="s">
        <v>37</v>
      </c>
      <c r="U810">
        <v>3.1</v>
      </c>
      <c r="V810" t="s">
        <v>56</v>
      </c>
      <c r="W810">
        <v>1</v>
      </c>
      <c r="X810" s="1" t="s">
        <v>88</v>
      </c>
    </row>
    <row r="811" spans="1:24" x14ac:dyDescent="0.55000000000000004">
      <c r="A811" s="1" t="s">
        <v>895</v>
      </c>
      <c r="B811" s="1" t="s">
        <v>98</v>
      </c>
      <c r="C811">
        <v>44</v>
      </c>
      <c r="D811" s="1" t="s">
        <v>42</v>
      </c>
      <c r="E811" s="1" t="s">
        <v>90</v>
      </c>
      <c r="F811" s="1" t="s">
        <v>44</v>
      </c>
      <c r="G811" s="1" t="s">
        <v>29</v>
      </c>
      <c r="H811" s="1" t="s">
        <v>77</v>
      </c>
      <c r="I811" s="1" t="s">
        <v>53</v>
      </c>
      <c r="J811" s="1" t="s">
        <v>54</v>
      </c>
      <c r="K811" s="1" t="s">
        <v>46</v>
      </c>
      <c r="L811" s="2">
        <v>46160</v>
      </c>
      <c r="M811" s="2">
        <v>46187</v>
      </c>
      <c r="N811">
        <v>1717122</v>
      </c>
      <c r="O811">
        <v>20415</v>
      </c>
      <c r="P811">
        <v>1696707</v>
      </c>
      <c r="Q811" s="1" t="s">
        <v>78</v>
      </c>
      <c r="R811" s="1" t="s">
        <v>109</v>
      </c>
      <c r="S811" s="1" t="s">
        <v>36</v>
      </c>
      <c r="T811" s="1" t="s">
        <v>37</v>
      </c>
      <c r="U811">
        <v>4.7</v>
      </c>
      <c r="V811" t="s">
        <v>38</v>
      </c>
      <c r="W811">
        <v>6</v>
      </c>
      <c r="X811" s="1" t="s">
        <v>68</v>
      </c>
    </row>
    <row r="812" spans="1:24" x14ac:dyDescent="0.55000000000000004">
      <c r="A812" s="1" t="s">
        <v>896</v>
      </c>
      <c r="B812" s="1" t="s">
        <v>83</v>
      </c>
      <c r="C812">
        <v>23</v>
      </c>
      <c r="D812" s="1" t="s">
        <v>42</v>
      </c>
      <c r="E812" s="1" t="s">
        <v>90</v>
      </c>
      <c r="F812" s="1" t="s">
        <v>44</v>
      </c>
      <c r="G812" s="1" t="s">
        <v>29</v>
      </c>
      <c r="H812" s="1" t="s">
        <v>77</v>
      </c>
      <c r="I812" s="1" t="s">
        <v>45</v>
      </c>
      <c r="J812" s="1" t="s">
        <v>54</v>
      </c>
      <c r="K812" s="1" t="s">
        <v>46</v>
      </c>
      <c r="L812" s="2">
        <v>45870</v>
      </c>
      <c r="M812" s="2">
        <v>45914</v>
      </c>
      <c r="N812">
        <v>1589057</v>
      </c>
      <c r="O812">
        <v>24923</v>
      </c>
      <c r="P812">
        <v>1564134</v>
      </c>
      <c r="Q812" s="1" t="s">
        <v>47</v>
      </c>
      <c r="R812" s="1" t="s">
        <v>48</v>
      </c>
      <c r="S812" s="1" t="s">
        <v>36</v>
      </c>
      <c r="T812" s="1" t="s">
        <v>37</v>
      </c>
      <c r="U812">
        <v>3.2</v>
      </c>
      <c r="V812" t="s">
        <v>38</v>
      </c>
      <c r="W812">
        <v>9</v>
      </c>
      <c r="X812" s="1" t="s">
        <v>103</v>
      </c>
    </row>
    <row r="813" spans="1:24" x14ac:dyDescent="0.55000000000000004">
      <c r="A813" s="1" t="s">
        <v>897</v>
      </c>
      <c r="B813" s="1" t="s">
        <v>70</v>
      </c>
      <c r="C813">
        <v>43</v>
      </c>
      <c r="D813" s="1" t="s">
        <v>26</v>
      </c>
      <c r="E813" s="1" t="s">
        <v>52</v>
      </c>
      <c r="F813" s="1" t="s">
        <v>44</v>
      </c>
      <c r="G813" s="1" t="s">
        <v>29</v>
      </c>
      <c r="H813" s="1" t="s">
        <v>77</v>
      </c>
      <c r="I813" s="1" t="s">
        <v>74</v>
      </c>
      <c r="J813" s="1" t="s">
        <v>54</v>
      </c>
      <c r="K813" s="1" t="s">
        <v>33</v>
      </c>
      <c r="L813" s="2">
        <v>45974</v>
      </c>
      <c r="M813" s="2">
        <v>46018</v>
      </c>
      <c r="N813">
        <v>1361149</v>
      </c>
      <c r="O813">
        <v>14537</v>
      </c>
      <c r="P813">
        <v>1346612</v>
      </c>
      <c r="Q813" s="1" t="s">
        <v>78</v>
      </c>
      <c r="R813" s="1" t="s">
        <v>109</v>
      </c>
      <c r="S813" s="1" t="s">
        <v>37</v>
      </c>
      <c r="T813" s="1" t="s">
        <v>37</v>
      </c>
      <c r="U813">
        <v>3.4</v>
      </c>
      <c r="V813" t="s">
        <v>38</v>
      </c>
      <c r="W813">
        <v>12</v>
      </c>
      <c r="X813" s="1" t="s">
        <v>49</v>
      </c>
    </row>
    <row r="814" spans="1:24" x14ac:dyDescent="0.55000000000000004">
      <c r="A814" s="1" t="s">
        <v>898</v>
      </c>
      <c r="B814" s="1" t="s">
        <v>81</v>
      </c>
      <c r="C814">
        <v>56</v>
      </c>
      <c r="D814" s="1" t="s">
        <v>26</v>
      </c>
      <c r="E814" s="1" t="s">
        <v>84</v>
      </c>
      <c r="F814" s="1" t="s">
        <v>85</v>
      </c>
      <c r="G814" s="1" t="s">
        <v>29</v>
      </c>
      <c r="H814" s="1" t="s">
        <v>65</v>
      </c>
      <c r="I814" s="1" t="s">
        <v>31</v>
      </c>
      <c r="J814" s="1" t="s">
        <v>54</v>
      </c>
      <c r="K814" s="1" t="s">
        <v>33</v>
      </c>
      <c r="L814" s="2">
        <v>46075</v>
      </c>
      <c r="M814" s="2">
        <v>46098</v>
      </c>
      <c r="N814">
        <v>1821843</v>
      </c>
      <c r="O814">
        <v>62216</v>
      </c>
      <c r="P814">
        <v>1759627</v>
      </c>
      <c r="Q814" s="1" t="s">
        <v>66</v>
      </c>
      <c r="R814" s="1" t="s">
        <v>48</v>
      </c>
      <c r="S814" s="1" t="s">
        <v>36</v>
      </c>
      <c r="T814" s="1" t="s">
        <v>36</v>
      </c>
      <c r="U814">
        <v>4.7</v>
      </c>
      <c r="V814" t="s">
        <v>38</v>
      </c>
      <c r="W814">
        <v>3</v>
      </c>
      <c r="X814" s="1" t="s">
        <v>96</v>
      </c>
    </row>
    <row r="815" spans="1:24" x14ac:dyDescent="0.55000000000000004">
      <c r="A815" s="1" t="s">
        <v>899</v>
      </c>
      <c r="B815" s="1" t="s">
        <v>51</v>
      </c>
      <c r="C815">
        <v>39</v>
      </c>
      <c r="D815" s="1" t="s">
        <v>26</v>
      </c>
      <c r="E815" s="1" t="s">
        <v>71</v>
      </c>
      <c r="F815" s="1" t="s">
        <v>72</v>
      </c>
      <c r="G815" s="1" t="s">
        <v>29</v>
      </c>
      <c r="H815" s="1" t="s">
        <v>30</v>
      </c>
      <c r="I815" s="1" t="s">
        <v>45</v>
      </c>
      <c r="J815" s="1" t="s">
        <v>32</v>
      </c>
      <c r="K815" s="1" t="s">
        <v>46</v>
      </c>
      <c r="L815" s="2">
        <v>45705</v>
      </c>
      <c r="M815" s="2">
        <v>45735</v>
      </c>
      <c r="N815">
        <v>1425898</v>
      </c>
      <c r="O815">
        <v>21803</v>
      </c>
      <c r="P815">
        <v>1404095</v>
      </c>
      <c r="Q815" s="1" t="s">
        <v>66</v>
      </c>
      <c r="R815" s="1" t="s">
        <v>79</v>
      </c>
      <c r="S815" s="1" t="s">
        <v>36</v>
      </c>
      <c r="T815" s="1" t="s">
        <v>36</v>
      </c>
      <c r="U815">
        <v>4.7</v>
      </c>
      <c r="V815" t="s">
        <v>38</v>
      </c>
      <c r="W815">
        <v>3</v>
      </c>
      <c r="X815" s="1" t="s">
        <v>96</v>
      </c>
    </row>
    <row r="816" spans="1:24" x14ac:dyDescent="0.55000000000000004">
      <c r="A816" s="1" t="s">
        <v>900</v>
      </c>
      <c r="B816" s="1" t="s">
        <v>83</v>
      </c>
      <c r="C816">
        <v>47</v>
      </c>
      <c r="D816" s="1" t="s">
        <v>26</v>
      </c>
      <c r="E816" s="1" t="s">
        <v>52</v>
      </c>
      <c r="F816" s="1" t="s">
        <v>44</v>
      </c>
      <c r="G816" s="1" t="s">
        <v>29</v>
      </c>
      <c r="H816" s="1" t="s">
        <v>77</v>
      </c>
      <c r="I816" s="1" t="s">
        <v>45</v>
      </c>
      <c r="J816" s="1" t="s">
        <v>54</v>
      </c>
      <c r="K816" s="1" t="s">
        <v>46</v>
      </c>
      <c r="L816" s="2">
        <v>45894</v>
      </c>
      <c r="M816" s="2">
        <v>45921</v>
      </c>
      <c r="N816">
        <v>1774492</v>
      </c>
      <c r="O816">
        <v>47125</v>
      </c>
      <c r="P816">
        <v>1727367</v>
      </c>
      <c r="Q816" s="1" t="s">
        <v>47</v>
      </c>
      <c r="R816" s="1" t="s">
        <v>67</v>
      </c>
      <c r="S816" s="1" t="s">
        <v>36</v>
      </c>
      <c r="T816" s="1" t="s">
        <v>37</v>
      </c>
      <c r="U816">
        <v>3.4</v>
      </c>
      <c r="V816" t="s">
        <v>38</v>
      </c>
      <c r="W816">
        <v>9</v>
      </c>
      <c r="X816" s="1" t="s">
        <v>103</v>
      </c>
    </row>
    <row r="817" spans="1:24" x14ac:dyDescent="0.55000000000000004">
      <c r="A817" s="1" t="s">
        <v>901</v>
      </c>
      <c r="B817" s="1" t="s">
        <v>62</v>
      </c>
      <c r="C817">
        <v>26</v>
      </c>
      <c r="D817" s="1" t="s">
        <v>26</v>
      </c>
      <c r="E817" s="1" t="s">
        <v>52</v>
      </c>
      <c r="F817" s="1" t="s">
        <v>44</v>
      </c>
      <c r="G817" s="1" t="s">
        <v>29</v>
      </c>
      <c r="H817" s="1" t="s">
        <v>65</v>
      </c>
      <c r="I817" s="1" t="s">
        <v>59</v>
      </c>
      <c r="J817" s="1" t="s">
        <v>32</v>
      </c>
      <c r="K817" s="1" t="s">
        <v>46</v>
      </c>
      <c r="L817" s="2">
        <v>45905</v>
      </c>
      <c r="M817" s="2">
        <v>45928</v>
      </c>
      <c r="N817">
        <v>1579624</v>
      </c>
      <c r="O817">
        <v>83876</v>
      </c>
      <c r="P817">
        <v>1495748</v>
      </c>
      <c r="Q817" s="1" t="s">
        <v>55</v>
      </c>
      <c r="R817" s="1" t="s">
        <v>109</v>
      </c>
      <c r="S817" s="1" t="s">
        <v>37</v>
      </c>
      <c r="T817" s="1" t="s">
        <v>36</v>
      </c>
      <c r="U817">
        <v>3.9</v>
      </c>
      <c r="V817" t="s">
        <v>38</v>
      </c>
      <c r="W817">
        <v>9</v>
      </c>
      <c r="X817" s="1" t="s">
        <v>103</v>
      </c>
    </row>
    <row r="818" spans="1:24" x14ac:dyDescent="0.55000000000000004">
      <c r="A818" s="1" t="s">
        <v>902</v>
      </c>
      <c r="B818" s="1" t="s">
        <v>81</v>
      </c>
      <c r="C818">
        <v>58</v>
      </c>
      <c r="D818" s="1" t="s">
        <v>26</v>
      </c>
      <c r="E818" s="1" t="s">
        <v>90</v>
      </c>
      <c r="F818" s="1" t="s">
        <v>44</v>
      </c>
      <c r="G818" s="1" t="s">
        <v>29</v>
      </c>
      <c r="H818" s="1" t="s">
        <v>77</v>
      </c>
      <c r="I818" s="1" t="s">
        <v>59</v>
      </c>
      <c r="J818" s="1" t="s">
        <v>54</v>
      </c>
      <c r="K818" s="1" t="s">
        <v>33</v>
      </c>
      <c r="L818" s="2">
        <v>45775</v>
      </c>
      <c r="M818" s="2">
        <v>45788</v>
      </c>
      <c r="N818">
        <v>1584942</v>
      </c>
      <c r="O818">
        <v>49200</v>
      </c>
      <c r="P818">
        <v>1535742</v>
      </c>
      <c r="Q818" s="1" t="s">
        <v>66</v>
      </c>
      <c r="R818" s="1" t="s">
        <v>35</v>
      </c>
      <c r="S818" s="1" t="s">
        <v>37</v>
      </c>
      <c r="T818" s="1" t="s">
        <v>36</v>
      </c>
      <c r="U818">
        <v>3.3</v>
      </c>
      <c r="V818" t="s">
        <v>56</v>
      </c>
      <c r="W818">
        <v>5</v>
      </c>
      <c r="X818" s="1" t="s">
        <v>86</v>
      </c>
    </row>
    <row r="819" spans="1:24" x14ac:dyDescent="0.55000000000000004">
      <c r="A819" s="1" t="s">
        <v>903</v>
      </c>
      <c r="B819" s="1" t="s">
        <v>93</v>
      </c>
      <c r="C819">
        <v>27</v>
      </c>
      <c r="D819" s="1" t="s">
        <v>42</v>
      </c>
      <c r="E819" s="1" t="s">
        <v>90</v>
      </c>
      <c r="F819" s="1" t="s">
        <v>44</v>
      </c>
      <c r="G819" s="1" t="s">
        <v>29</v>
      </c>
      <c r="H819" s="1" t="s">
        <v>30</v>
      </c>
      <c r="I819" s="1" t="s">
        <v>45</v>
      </c>
      <c r="J819" s="1" t="s">
        <v>54</v>
      </c>
      <c r="K819" s="1" t="s">
        <v>33</v>
      </c>
      <c r="L819" s="2">
        <v>46075</v>
      </c>
      <c r="M819" s="2">
        <v>46101</v>
      </c>
      <c r="N819">
        <v>1643102</v>
      </c>
      <c r="O819">
        <v>95644</v>
      </c>
      <c r="P819">
        <v>1547458</v>
      </c>
      <c r="Q819" s="1" t="s">
        <v>34</v>
      </c>
      <c r="R819" s="1" t="s">
        <v>67</v>
      </c>
      <c r="S819" s="1" t="s">
        <v>36</v>
      </c>
      <c r="T819" s="1" t="s">
        <v>36</v>
      </c>
      <c r="U819">
        <v>4.4000000000000004</v>
      </c>
      <c r="V819" t="s">
        <v>38</v>
      </c>
      <c r="W819">
        <v>3</v>
      </c>
      <c r="X819" s="1" t="s">
        <v>96</v>
      </c>
    </row>
    <row r="820" spans="1:24" x14ac:dyDescent="0.55000000000000004">
      <c r="A820" s="1" t="s">
        <v>904</v>
      </c>
      <c r="B820" s="1" t="s">
        <v>62</v>
      </c>
      <c r="C820">
        <v>22</v>
      </c>
      <c r="D820" s="1" t="s">
        <v>26</v>
      </c>
      <c r="E820" s="1" t="s">
        <v>43</v>
      </c>
      <c r="F820" s="1" t="s">
        <v>44</v>
      </c>
      <c r="G820" s="1" t="s">
        <v>29</v>
      </c>
      <c r="H820" s="1" t="s">
        <v>30</v>
      </c>
      <c r="I820" s="1" t="s">
        <v>31</v>
      </c>
      <c r="J820" s="1" t="s">
        <v>32</v>
      </c>
      <c r="K820" s="1" t="s">
        <v>46</v>
      </c>
      <c r="L820" s="2">
        <v>45738</v>
      </c>
      <c r="M820" s="2">
        <v>45755</v>
      </c>
      <c r="N820">
        <v>1764184</v>
      </c>
      <c r="O820">
        <v>50620</v>
      </c>
      <c r="P820">
        <v>1713564</v>
      </c>
      <c r="Q820" s="1" t="s">
        <v>47</v>
      </c>
      <c r="R820" s="1" t="s">
        <v>48</v>
      </c>
      <c r="S820" s="1" t="s">
        <v>37</v>
      </c>
      <c r="T820" s="1" t="s">
        <v>37</v>
      </c>
      <c r="U820">
        <v>4.4000000000000004</v>
      </c>
      <c r="V820" t="s">
        <v>56</v>
      </c>
      <c r="W820">
        <v>4</v>
      </c>
      <c r="X820" s="1" t="s">
        <v>63</v>
      </c>
    </row>
    <row r="821" spans="1:24" x14ac:dyDescent="0.55000000000000004">
      <c r="A821" s="1" t="s">
        <v>905</v>
      </c>
      <c r="B821" s="1" t="s">
        <v>98</v>
      </c>
      <c r="C821">
        <v>38</v>
      </c>
      <c r="D821" s="1" t="s">
        <v>26</v>
      </c>
      <c r="E821" s="1" t="s">
        <v>52</v>
      </c>
      <c r="F821" s="1" t="s">
        <v>44</v>
      </c>
      <c r="G821" s="1" t="s">
        <v>29</v>
      </c>
      <c r="H821" s="1" t="s">
        <v>65</v>
      </c>
      <c r="I821" s="1" t="s">
        <v>53</v>
      </c>
      <c r="J821" s="1" t="s">
        <v>54</v>
      </c>
      <c r="K821" s="1" t="s">
        <v>46</v>
      </c>
      <c r="L821" s="2">
        <v>46033</v>
      </c>
      <c r="M821" s="2">
        <v>46072</v>
      </c>
      <c r="N821">
        <v>1607871</v>
      </c>
      <c r="O821">
        <v>98054</v>
      </c>
      <c r="P821">
        <v>1509817</v>
      </c>
      <c r="Q821" s="1" t="s">
        <v>47</v>
      </c>
      <c r="R821" s="1" t="s">
        <v>48</v>
      </c>
      <c r="S821" s="1" t="s">
        <v>37</v>
      </c>
      <c r="T821" s="1" t="s">
        <v>37</v>
      </c>
      <c r="U821">
        <v>3.6</v>
      </c>
      <c r="V821" t="s">
        <v>38</v>
      </c>
      <c r="W821">
        <v>2</v>
      </c>
      <c r="X821" s="1" t="s">
        <v>107</v>
      </c>
    </row>
    <row r="822" spans="1:24" x14ac:dyDescent="0.55000000000000004">
      <c r="A822" s="1" t="s">
        <v>906</v>
      </c>
      <c r="B822" s="1" t="s">
        <v>25</v>
      </c>
      <c r="C822">
        <v>54</v>
      </c>
      <c r="D822" s="1" t="s">
        <v>42</v>
      </c>
      <c r="E822" s="1" t="s">
        <v>43</v>
      </c>
      <c r="F822" s="1" t="s">
        <v>44</v>
      </c>
      <c r="G822" s="1" t="s">
        <v>29</v>
      </c>
      <c r="H822" s="1" t="s">
        <v>30</v>
      </c>
      <c r="I822" s="1" t="s">
        <v>59</v>
      </c>
      <c r="J822" s="1" t="s">
        <v>32</v>
      </c>
      <c r="K822" s="1" t="s">
        <v>46</v>
      </c>
      <c r="L822" s="2">
        <v>45917</v>
      </c>
      <c r="M822" s="2">
        <v>45927</v>
      </c>
      <c r="N822">
        <v>1372175</v>
      </c>
      <c r="O822">
        <v>83532</v>
      </c>
      <c r="P822">
        <v>1288643</v>
      </c>
      <c r="Q822" s="1" t="s">
        <v>47</v>
      </c>
      <c r="R822" s="1" t="s">
        <v>35</v>
      </c>
      <c r="S822" s="1" t="s">
        <v>36</v>
      </c>
      <c r="T822" s="1" t="s">
        <v>37</v>
      </c>
      <c r="U822">
        <v>4.3</v>
      </c>
      <c r="V822" t="s">
        <v>91</v>
      </c>
      <c r="W822">
        <v>9</v>
      </c>
      <c r="X822" s="1" t="s">
        <v>103</v>
      </c>
    </row>
    <row r="823" spans="1:24" x14ac:dyDescent="0.55000000000000004">
      <c r="A823" s="1" t="s">
        <v>907</v>
      </c>
      <c r="B823" s="1" t="s">
        <v>25</v>
      </c>
      <c r="C823">
        <v>21</v>
      </c>
      <c r="D823" s="1" t="s">
        <v>26</v>
      </c>
      <c r="E823" s="1" t="s">
        <v>90</v>
      </c>
      <c r="F823" s="1" t="s">
        <v>44</v>
      </c>
      <c r="G823" s="1" t="s">
        <v>29</v>
      </c>
      <c r="H823" s="1" t="s">
        <v>65</v>
      </c>
      <c r="I823" s="1" t="s">
        <v>45</v>
      </c>
      <c r="J823" s="1" t="s">
        <v>32</v>
      </c>
      <c r="K823" s="1" t="s">
        <v>46</v>
      </c>
      <c r="L823" s="2">
        <v>46198</v>
      </c>
      <c r="M823" s="2">
        <v>46238</v>
      </c>
      <c r="N823">
        <v>1730370</v>
      </c>
      <c r="O823">
        <v>61822</v>
      </c>
      <c r="P823">
        <v>1668548</v>
      </c>
      <c r="Q823" s="1" t="s">
        <v>47</v>
      </c>
      <c r="R823" s="1" t="s">
        <v>79</v>
      </c>
      <c r="S823" s="1" t="s">
        <v>36</v>
      </c>
      <c r="T823" s="1" t="s">
        <v>36</v>
      </c>
      <c r="U823">
        <v>4.8</v>
      </c>
      <c r="V823" t="s">
        <v>38</v>
      </c>
      <c r="W823">
        <v>8</v>
      </c>
      <c r="X823" s="1" t="s">
        <v>57</v>
      </c>
    </row>
    <row r="824" spans="1:24" x14ac:dyDescent="0.55000000000000004">
      <c r="A824" s="1" t="s">
        <v>908</v>
      </c>
      <c r="B824" s="1" t="s">
        <v>70</v>
      </c>
      <c r="C824">
        <v>39</v>
      </c>
      <c r="D824" s="1" t="s">
        <v>26</v>
      </c>
      <c r="E824" s="1" t="s">
        <v>90</v>
      </c>
      <c r="F824" s="1" t="s">
        <v>44</v>
      </c>
      <c r="G824" s="1" t="s">
        <v>29</v>
      </c>
      <c r="H824" s="1" t="s">
        <v>30</v>
      </c>
      <c r="I824" s="1" t="s">
        <v>53</v>
      </c>
      <c r="J824" s="1" t="s">
        <v>54</v>
      </c>
      <c r="K824" s="1" t="s">
        <v>33</v>
      </c>
      <c r="L824" s="2">
        <v>45954</v>
      </c>
      <c r="M824" s="2">
        <v>45993</v>
      </c>
      <c r="N824">
        <v>1455483</v>
      </c>
      <c r="O824">
        <v>81515</v>
      </c>
      <c r="P824">
        <v>1373968</v>
      </c>
      <c r="Q824" s="1" t="s">
        <v>47</v>
      </c>
      <c r="R824" s="1" t="s">
        <v>67</v>
      </c>
      <c r="S824" s="1" t="s">
        <v>37</v>
      </c>
      <c r="T824" s="1" t="s">
        <v>36</v>
      </c>
      <c r="U824">
        <v>4.2</v>
      </c>
      <c r="V824" t="s">
        <v>38</v>
      </c>
      <c r="W824">
        <v>12</v>
      </c>
      <c r="X824" s="1" t="s">
        <v>49</v>
      </c>
    </row>
    <row r="825" spans="1:24" x14ac:dyDescent="0.55000000000000004">
      <c r="A825" s="1" t="s">
        <v>909</v>
      </c>
      <c r="B825" s="1" t="s">
        <v>41</v>
      </c>
      <c r="C825">
        <v>57</v>
      </c>
      <c r="D825" s="1" t="s">
        <v>26</v>
      </c>
      <c r="E825" s="1" t="s">
        <v>43</v>
      </c>
      <c r="F825" s="1" t="s">
        <v>44</v>
      </c>
      <c r="G825" s="1" t="s">
        <v>29</v>
      </c>
      <c r="H825" s="1" t="s">
        <v>30</v>
      </c>
      <c r="I825" s="1" t="s">
        <v>31</v>
      </c>
      <c r="J825" s="1" t="s">
        <v>32</v>
      </c>
      <c r="K825" s="1" t="s">
        <v>33</v>
      </c>
      <c r="L825" s="2">
        <v>45915</v>
      </c>
      <c r="M825" s="2">
        <v>45945</v>
      </c>
      <c r="N825">
        <v>1670487</v>
      </c>
      <c r="O825">
        <v>98255</v>
      </c>
      <c r="P825">
        <v>1572232</v>
      </c>
      <c r="Q825" s="1" t="s">
        <v>66</v>
      </c>
      <c r="R825" s="1" t="s">
        <v>67</v>
      </c>
      <c r="S825" s="1" t="s">
        <v>37</v>
      </c>
      <c r="T825" s="1" t="s">
        <v>36</v>
      </c>
      <c r="U825">
        <v>4.4000000000000004</v>
      </c>
      <c r="V825" t="s">
        <v>38</v>
      </c>
      <c r="W825">
        <v>10</v>
      </c>
      <c r="X825" s="1" t="s">
        <v>75</v>
      </c>
    </row>
    <row r="826" spans="1:24" x14ac:dyDescent="0.55000000000000004">
      <c r="A826" s="1" t="s">
        <v>910</v>
      </c>
      <c r="B826" s="1" t="s">
        <v>51</v>
      </c>
      <c r="C826">
        <v>52</v>
      </c>
      <c r="D826" s="1" t="s">
        <v>26</v>
      </c>
      <c r="E826" s="1" t="s">
        <v>84</v>
      </c>
      <c r="F826" s="1" t="s">
        <v>85</v>
      </c>
      <c r="G826" s="1" t="s">
        <v>29</v>
      </c>
      <c r="H826" s="1" t="s">
        <v>77</v>
      </c>
      <c r="I826" s="1" t="s">
        <v>31</v>
      </c>
      <c r="J826" s="1" t="s">
        <v>32</v>
      </c>
      <c r="K826" s="1" t="s">
        <v>46</v>
      </c>
      <c r="L826" s="2">
        <v>45740</v>
      </c>
      <c r="M826" s="2">
        <v>45783</v>
      </c>
      <c r="N826">
        <v>1511359</v>
      </c>
      <c r="O826">
        <v>73533</v>
      </c>
      <c r="P826">
        <v>1437826</v>
      </c>
      <c r="Q826" s="1" t="s">
        <v>47</v>
      </c>
      <c r="R826" s="1" t="s">
        <v>67</v>
      </c>
      <c r="S826" s="1" t="s">
        <v>36</v>
      </c>
      <c r="T826" s="1" t="s">
        <v>37</v>
      </c>
      <c r="U826">
        <v>3.2</v>
      </c>
      <c r="V826" t="s">
        <v>38</v>
      </c>
      <c r="W826">
        <v>5</v>
      </c>
      <c r="X826" s="1" t="s">
        <v>86</v>
      </c>
    </row>
    <row r="827" spans="1:24" x14ac:dyDescent="0.55000000000000004">
      <c r="A827" s="1" t="s">
        <v>911</v>
      </c>
      <c r="B827" s="1" t="s">
        <v>70</v>
      </c>
      <c r="C827">
        <v>30</v>
      </c>
      <c r="D827" s="1" t="s">
        <v>42</v>
      </c>
      <c r="E827" s="1" t="s">
        <v>84</v>
      </c>
      <c r="F827" s="1" t="s">
        <v>85</v>
      </c>
      <c r="G827" s="1" t="s">
        <v>29</v>
      </c>
      <c r="H827" s="1" t="s">
        <v>65</v>
      </c>
      <c r="I827" s="1" t="s">
        <v>74</v>
      </c>
      <c r="J827" s="1" t="s">
        <v>32</v>
      </c>
      <c r="K827" s="1" t="s">
        <v>46</v>
      </c>
      <c r="L827" s="2">
        <v>45674</v>
      </c>
      <c r="M827" s="2">
        <v>45715</v>
      </c>
      <c r="N827">
        <v>1874757</v>
      </c>
      <c r="O827">
        <v>95718</v>
      </c>
      <c r="P827">
        <v>1779039</v>
      </c>
      <c r="Q827" s="1" t="s">
        <v>34</v>
      </c>
      <c r="R827" s="1" t="s">
        <v>79</v>
      </c>
      <c r="S827" s="1" t="s">
        <v>37</v>
      </c>
      <c r="T827" s="1" t="s">
        <v>36</v>
      </c>
      <c r="U827">
        <v>4.4000000000000004</v>
      </c>
      <c r="V827" t="s">
        <v>38</v>
      </c>
      <c r="W827">
        <v>2</v>
      </c>
      <c r="X827" s="1" t="s">
        <v>107</v>
      </c>
    </row>
    <row r="828" spans="1:24" x14ac:dyDescent="0.55000000000000004">
      <c r="A828" s="1" t="s">
        <v>912</v>
      </c>
      <c r="B828" s="1" t="s">
        <v>62</v>
      </c>
      <c r="C828">
        <v>41</v>
      </c>
      <c r="D828" s="1" t="s">
        <v>26</v>
      </c>
      <c r="E828" s="1" t="s">
        <v>71</v>
      </c>
      <c r="F828" s="1" t="s">
        <v>72</v>
      </c>
      <c r="G828" s="1" t="s">
        <v>29</v>
      </c>
      <c r="H828" s="1" t="s">
        <v>77</v>
      </c>
      <c r="I828" s="1" t="s">
        <v>53</v>
      </c>
      <c r="J828" s="1" t="s">
        <v>54</v>
      </c>
      <c r="K828" s="1" t="s">
        <v>33</v>
      </c>
      <c r="L828" s="2">
        <v>46122</v>
      </c>
      <c r="M828" s="2">
        <v>46134</v>
      </c>
      <c r="N828">
        <v>1360467</v>
      </c>
      <c r="O828">
        <v>36131</v>
      </c>
      <c r="P828">
        <v>1324336</v>
      </c>
      <c r="Q828" s="1" t="s">
        <v>47</v>
      </c>
      <c r="R828" s="1" t="s">
        <v>109</v>
      </c>
      <c r="S828" s="1" t="s">
        <v>36</v>
      </c>
      <c r="T828" s="1" t="s">
        <v>37</v>
      </c>
      <c r="U828">
        <v>3.8</v>
      </c>
      <c r="V828" t="s">
        <v>56</v>
      </c>
      <c r="W828">
        <v>4</v>
      </c>
      <c r="X828" s="1" t="s">
        <v>63</v>
      </c>
    </row>
    <row r="829" spans="1:24" x14ac:dyDescent="0.55000000000000004">
      <c r="A829" s="1" t="s">
        <v>913</v>
      </c>
      <c r="B829" s="1" t="s">
        <v>62</v>
      </c>
      <c r="C829">
        <v>47</v>
      </c>
      <c r="D829" s="1" t="s">
        <v>26</v>
      </c>
      <c r="E829" s="1" t="s">
        <v>90</v>
      </c>
      <c r="F829" s="1" t="s">
        <v>44</v>
      </c>
      <c r="G829" s="1" t="s">
        <v>29</v>
      </c>
      <c r="H829" s="1" t="s">
        <v>65</v>
      </c>
      <c r="I829" s="1" t="s">
        <v>74</v>
      </c>
      <c r="J829" s="1" t="s">
        <v>54</v>
      </c>
      <c r="K829" s="1" t="s">
        <v>46</v>
      </c>
      <c r="L829" s="2">
        <v>45731</v>
      </c>
      <c r="M829" s="2">
        <v>45756</v>
      </c>
      <c r="N829">
        <v>1321711</v>
      </c>
      <c r="O829">
        <v>13174</v>
      </c>
      <c r="P829">
        <v>1308537</v>
      </c>
      <c r="Q829" s="1" t="s">
        <v>55</v>
      </c>
      <c r="R829" s="1" t="s">
        <v>35</v>
      </c>
      <c r="S829" s="1" t="s">
        <v>37</v>
      </c>
      <c r="T829" s="1" t="s">
        <v>37</v>
      </c>
      <c r="U829">
        <v>4.0999999999999996</v>
      </c>
      <c r="V829" t="s">
        <v>38</v>
      </c>
      <c r="W829">
        <v>4</v>
      </c>
      <c r="X829" s="1" t="s">
        <v>63</v>
      </c>
    </row>
    <row r="830" spans="1:24" x14ac:dyDescent="0.55000000000000004">
      <c r="A830" s="1" t="s">
        <v>914</v>
      </c>
      <c r="B830" s="1" t="s">
        <v>25</v>
      </c>
      <c r="C830">
        <v>53</v>
      </c>
      <c r="D830" s="1" t="s">
        <v>26</v>
      </c>
      <c r="E830" s="1" t="s">
        <v>27</v>
      </c>
      <c r="F830" s="1" t="s">
        <v>28</v>
      </c>
      <c r="G830" s="1" t="s">
        <v>29</v>
      </c>
      <c r="H830" s="1" t="s">
        <v>77</v>
      </c>
      <c r="I830" s="1" t="s">
        <v>74</v>
      </c>
      <c r="J830" s="1" t="s">
        <v>54</v>
      </c>
      <c r="K830" s="1" t="s">
        <v>33</v>
      </c>
      <c r="L830" s="2">
        <v>46124</v>
      </c>
      <c r="M830" s="2">
        <v>46155</v>
      </c>
      <c r="N830">
        <v>1791421</v>
      </c>
      <c r="O830">
        <v>36830</v>
      </c>
      <c r="P830">
        <v>1754591</v>
      </c>
      <c r="Q830" s="1" t="s">
        <v>55</v>
      </c>
      <c r="R830" s="1" t="s">
        <v>48</v>
      </c>
      <c r="S830" s="1" t="s">
        <v>37</v>
      </c>
      <c r="T830" s="1" t="s">
        <v>36</v>
      </c>
      <c r="U830">
        <v>3.2</v>
      </c>
      <c r="V830" t="s">
        <v>38</v>
      </c>
      <c r="W830">
        <v>5</v>
      </c>
      <c r="X830" s="1" t="s">
        <v>86</v>
      </c>
    </row>
    <row r="831" spans="1:24" x14ac:dyDescent="0.55000000000000004">
      <c r="A831" s="1" t="s">
        <v>915</v>
      </c>
      <c r="B831" s="1" t="s">
        <v>98</v>
      </c>
      <c r="C831">
        <v>41</v>
      </c>
      <c r="D831" s="1" t="s">
        <v>26</v>
      </c>
      <c r="E831" s="1" t="s">
        <v>52</v>
      </c>
      <c r="F831" s="1" t="s">
        <v>44</v>
      </c>
      <c r="G831" s="1" t="s">
        <v>29</v>
      </c>
      <c r="H831" s="1" t="s">
        <v>65</v>
      </c>
      <c r="I831" s="1" t="s">
        <v>53</v>
      </c>
      <c r="J831" s="1" t="s">
        <v>54</v>
      </c>
      <c r="K831" s="1" t="s">
        <v>33</v>
      </c>
      <c r="L831" s="2">
        <v>45725</v>
      </c>
      <c r="M831" s="2">
        <v>45745</v>
      </c>
      <c r="N831">
        <v>1533687</v>
      </c>
      <c r="O831">
        <v>97216</v>
      </c>
      <c r="P831">
        <v>1436471</v>
      </c>
      <c r="Q831" s="1" t="s">
        <v>78</v>
      </c>
      <c r="R831" s="1" t="s">
        <v>67</v>
      </c>
      <c r="S831" s="1" t="s">
        <v>36</v>
      </c>
      <c r="T831" s="1" t="s">
        <v>36</v>
      </c>
      <c r="U831">
        <v>3.5</v>
      </c>
      <c r="V831" t="s">
        <v>56</v>
      </c>
      <c r="W831">
        <v>3</v>
      </c>
      <c r="X831" s="1" t="s">
        <v>96</v>
      </c>
    </row>
    <row r="832" spans="1:24" x14ac:dyDescent="0.55000000000000004">
      <c r="A832" s="1" t="s">
        <v>916</v>
      </c>
      <c r="B832" s="1" t="s">
        <v>81</v>
      </c>
      <c r="C832">
        <v>59</v>
      </c>
      <c r="D832" s="1" t="s">
        <v>26</v>
      </c>
      <c r="E832" s="1" t="s">
        <v>90</v>
      </c>
      <c r="F832" s="1" t="s">
        <v>44</v>
      </c>
      <c r="G832" s="1" t="s">
        <v>29</v>
      </c>
      <c r="H832" s="1" t="s">
        <v>77</v>
      </c>
      <c r="I832" s="1" t="s">
        <v>31</v>
      </c>
      <c r="J832" s="1" t="s">
        <v>54</v>
      </c>
      <c r="K832" s="1" t="s">
        <v>46</v>
      </c>
      <c r="L832" s="2">
        <v>45766</v>
      </c>
      <c r="M832" s="2">
        <v>45802</v>
      </c>
      <c r="N832">
        <v>1829234</v>
      </c>
      <c r="O832">
        <v>58280</v>
      </c>
      <c r="P832">
        <v>1770954</v>
      </c>
      <c r="Q832" s="1" t="s">
        <v>55</v>
      </c>
      <c r="R832" s="1" t="s">
        <v>67</v>
      </c>
      <c r="S832" s="1" t="s">
        <v>37</v>
      </c>
      <c r="T832" s="1" t="s">
        <v>37</v>
      </c>
      <c r="U832">
        <v>4.7</v>
      </c>
      <c r="V832" t="s">
        <v>38</v>
      </c>
      <c r="W832">
        <v>5</v>
      </c>
      <c r="X832" s="1" t="s">
        <v>86</v>
      </c>
    </row>
    <row r="833" spans="1:24" x14ac:dyDescent="0.55000000000000004">
      <c r="A833" s="1" t="s">
        <v>917</v>
      </c>
      <c r="B833" s="1" t="s">
        <v>93</v>
      </c>
      <c r="C833">
        <v>24</v>
      </c>
      <c r="D833" s="1" t="s">
        <v>42</v>
      </c>
      <c r="E833" s="1" t="s">
        <v>52</v>
      </c>
      <c r="F833" s="1" t="s">
        <v>44</v>
      </c>
      <c r="G833" s="1" t="s">
        <v>29</v>
      </c>
      <c r="H833" s="1" t="s">
        <v>30</v>
      </c>
      <c r="I833" s="1" t="s">
        <v>53</v>
      </c>
      <c r="J833" s="1" t="s">
        <v>54</v>
      </c>
      <c r="K833" s="1" t="s">
        <v>46</v>
      </c>
      <c r="L833" s="2">
        <v>45769</v>
      </c>
      <c r="M833" s="2">
        <v>45781</v>
      </c>
      <c r="N833">
        <v>1568866</v>
      </c>
      <c r="O833">
        <v>73085</v>
      </c>
      <c r="P833">
        <v>1495781</v>
      </c>
      <c r="Q833" s="1" t="s">
        <v>66</v>
      </c>
      <c r="R833" s="1" t="s">
        <v>109</v>
      </c>
      <c r="S833" s="1" t="s">
        <v>37</v>
      </c>
      <c r="T833" s="1" t="s">
        <v>37</v>
      </c>
      <c r="U833">
        <v>3.6</v>
      </c>
      <c r="V833" t="s">
        <v>56</v>
      </c>
      <c r="W833">
        <v>5</v>
      </c>
      <c r="X833" s="1" t="s">
        <v>86</v>
      </c>
    </row>
    <row r="834" spans="1:24" x14ac:dyDescent="0.55000000000000004">
      <c r="A834" s="1" t="s">
        <v>918</v>
      </c>
      <c r="B834" s="1" t="s">
        <v>93</v>
      </c>
      <c r="C834">
        <v>39</v>
      </c>
      <c r="D834" s="1" t="s">
        <v>26</v>
      </c>
      <c r="E834" s="1" t="s">
        <v>90</v>
      </c>
      <c r="F834" s="1" t="s">
        <v>44</v>
      </c>
      <c r="G834" s="1" t="s">
        <v>29</v>
      </c>
      <c r="H834" s="1" t="s">
        <v>77</v>
      </c>
      <c r="I834" s="1" t="s">
        <v>59</v>
      </c>
      <c r="J834" s="1" t="s">
        <v>32</v>
      </c>
      <c r="K834" s="1" t="s">
        <v>33</v>
      </c>
      <c r="L834" s="2">
        <v>45798</v>
      </c>
      <c r="M834" s="2">
        <v>45806</v>
      </c>
      <c r="N834">
        <v>1446285</v>
      </c>
      <c r="O834">
        <v>36057</v>
      </c>
      <c r="P834">
        <v>1410228</v>
      </c>
      <c r="Q834" s="1" t="s">
        <v>66</v>
      </c>
      <c r="R834" s="1" t="s">
        <v>79</v>
      </c>
      <c r="S834" s="1" t="s">
        <v>37</v>
      </c>
      <c r="T834" s="1" t="s">
        <v>37</v>
      </c>
      <c r="U834">
        <v>3.5</v>
      </c>
      <c r="V834" t="s">
        <v>91</v>
      </c>
      <c r="W834">
        <v>5</v>
      </c>
      <c r="X834" s="1" t="s">
        <v>86</v>
      </c>
    </row>
    <row r="835" spans="1:24" x14ac:dyDescent="0.55000000000000004">
      <c r="A835" s="1" t="s">
        <v>919</v>
      </c>
      <c r="B835" s="1" t="s">
        <v>25</v>
      </c>
      <c r="C835">
        <v>36</v>
      </c>
      <c r="D835" s="1" t="s">
        <v>26</v>
      </c>
      <c r="E835" s="1" t="s">
        <v>43</v>
      </c>
      <c r="F835" s="1" t="s">
        <v>44</v>
      </c>
      <c r="G835" s="1" t="s">
        <v>29</v>
      </c>
      <c r="H835" s="1" t="s">
        <v>30</v>
      </c>
      <c r="I835" s="1" t="s">
        <v>74</v>
      </c>
      <c r="J835" s="1" t="s">
        <v>54</v>
      </c>
      <c r="K835" s="1" t="s">
        <v>46</v>
      </c>
      <c r="L835" s="2">
        <v>46100</v>
      </c>
      <c r="M835" s="2">
        <v>46108</v>
      </c>
      <c r="N835">
        <v>1546078</v>
      </c>
      <c r="O835">
        <v>95280</v>
      </c>
      <c r="P835">
        <v>1450798</v>
      </c>
      <c r="Q835" s="1" t="s">
        <v>47</v>
      </c>
      <c r="R835" s="1" t="s">
        <v>48</v>
      </c>
      <c r="S835" s="1" t="s">
        <v>37</v>
      </c>
      <c r="T835" s="1" t="s">
        <v>37</v>
      </c>
      <c r="U835">
        <v>3.4</v>
      </c>
      <c r="V835" t="s">
        <v>91</v>
      </c>
      <c r="W835">
        <v>3</v>
      </c>
      <c r="X835" s="1" t="s">
        <v>96</v>
      </c>
    </row>
    <row r="836" spans="1:24" x14ac:dyDescent="0.55000000000000004">
      <c r="A836" s="1" t="s">
        <v>920</v>
      </c>
      <c r="B836" s="1" t="s">
        <v>70</v>
      </c>
      <c r="C836">
        <v>45</v>
      </c>
      <c r="D836" s="1" t="s">
        <v>26</v>
      </c>
      <c r="E836" s="1" t="s">
        <v>84</v>
      </c>
      <c r="F836" s="1" t="s">
        <v>85</v>
      </c>
      <c r="G836" s="1" t="s">
        <v>29</v>
      </c>
      <c r="H836" s="1" t="s">
        <v>65</v>
      </c>
      <c r="I836" s="1" t="s">
        <v>45</v>
      </c>
      <c r="J836" s="1" t="s">
        <v>54</v>
      </c>
      <c r="K836" s="1" t="s">
        <v>33</v>
      </c>
      <c r="L836" s="2">
        <v>46163</v>
      </c>
      <c r="M836" s="2">
        <v>46187</v>
      </c>
      <c r="N836">
        <v>1455995</v>
      </c>
      <c r="O836">
        <v>29962</v>
      </c>
      <c r="P836">
        <v>1426033</v>
      </c>
      <c r="Q836" s="1" t="s">
        <v>78</v>
      </c>
      <c r="R836" s="1" t="s">
        <v>79</v>
      </c>
      <c r="S836" s="1" t="s">
        <v>37</v>
      </c>
      <c r="T836" s="1" t="s">
        <v>36</v>
      </c>
      <c r="U836">
        <v>4.5</v>
      </c>
      <c r="V836" t="s">
        <v>38</v>
      </c>
      <c r="W836">
        <v>6</v>
      </c>
      <c r="X836" s="1" t="s">
        <v>68</v>
      </c>
    </row>
    <row r="837" spans="1:24" x14ac:dyDescent="0.55000000000000004">
      <c r="A837" s="1" t="s">
        <v>921</v>
      </c>
      <c r="B837" s="1" t="s">
        <v>51</v>
      </c>
      <c r="C837">
        <v>53</v>
      </c>
      <c r="D837" s="1" t="s">
        <v>26</v>
      </c>
      <c r="E837" s="1" t="s">
        <v>84</v>
      </c>
      <c r="F837" s="1" t="s">
        <v>85</v>
      </c>
      <c r="G837" s="1" t="s">
        <v>29</v>
      </c>
      <c r="H837" s="1" t="s">
        <v>77</v>
      </c>
      <c r="I837" s="1" t="s">
        <v>74</v>
      </c>
      <c r="J837" s="1" t="s">
        <v>54</v>
      </c>
      <c r="K837" s="1" t="s">
        <v>46</v>
      </c>
      <c r="L837" s="2">
        <v>45795</v>
      </c>
      <c r="M837" s="2">
        <v>45829</v>
      </c>
      <c r="N837">
        <v>1677182</v>
      </c>
      <c r="O837">
        <v>40834</v>
      </c>
      <c r="P837">
        <v>1636348</v>
      </c>
      <c r="Q837" s="1" t="s">
        <v>66</v>
      </c>
      <c r="R837" s="1" t="s">
        <v>67</v>
      </c>
      <c r="S837" s="1" t="s">
        <v>37</v>
      </c>
      <c r="T837" s="1" t="s">
        <v>36</v>
      </c>
      <c r="U837">
        <v>4.4000000000000004</v>
      </c>
      <c r="V837" t="s">
        <v>38</v>
      </c>
      <c r="W837">
        <v>6</v>
      </c>
      <c r="X837" s="1" t="s">
        <v>68</v>
      </c>
    </row>
    <row r="838" spans="1:24" x14ac:dyDescent="0.55000000000000004">
      <c r="A838" s="1" t="s">
        <v>922</v>
      </c>
      <c r="B838" s="1" t="s">
        <v>81</v>
      </c>
      <c r="C838">
        <v>33</v>
      </c>
      <c r="D838" s="1" t="s">
        <v>42</v>
      </c>
      <c r="E838" s="1" t="s">
        <v>52</v>
      </c>
      <c r="F838" s="1" t="s">
        <v>44</v>
      </c>
      <c r="G838" s="1" t="s">
        <v>29</v>
      </c>
      <c r="H838" s="1" t="s">
        <v>77</v>
      </c>
      <c r="I838" s="1" t="s">
        <v>74</v>
      </c>
      <c r="J838" s="1" t="s">
        <v>54</v>
      </c>
      <c r="K838" s="1" t="s">
        <v>46</v>
      </c>
      <c r="L838" s="2">
        <v>45718</v>
      </c>
      <c r="M838" s="2">
        <v>45737</v>
      </c>
      <c r="N838">
        <v>1860581</v>
      </c>
      <c r="O838">
        <v>99894</v>
      </c>
      <c r="P838">
        <v>1760687</v>
      </c>
      <c r="Q838" s="1" t="s">
        <v>66</v>
      </c>
      <c r="R838" s="1" t="s">
        <v>35</v>
      </c>
      <c r="S838" s="1" t="s">
        <v>36</v>
      </c>
      <c r="T838" s="1" t="s">
        <v>37</v>
      </c>
      <c r="U838">
        <v>4.8</v>
      </c>
      <c r="V838" t="s">
        <v>56</v>
      </c>
      <c r="W838">
        <v>3</v>
      </c>
      <c r="X838" s="1" t="s">
        <v>96</v>
      </c>
    </row>
    <row r="839" spans="1:24" x14ac:dyDescent="0.55000000000000004">
      <c r="A839" s="1" t="s">
        <v>923</v>
      </c>
      <c r="B839" s="1" t="s">
        <v>93</v>
      </c>
      <c r="C839">
        <v>42</v>
      </c>
      <c r="D839" s="1" t="s">
        <v>26</v>
      </c>
      <c r="E839" s="1" t="s">
        <v>84</v>
      </c>
      <c r="F839" s="1" t="s">
        <v>85</v>
      </c>
      <c r="G839" s="1" t="s">
        <v>29</v>
      </c>
      <c r="H839" s="1" t="s">
        <v>65</v>
      </c>
      <c r="I839" s="1" t="s">
        <v>31</v>
      </c>
      <c r="J839" s="1" t="s">
        <v>32</v>
      </c>
      <c r="K839" s="1" t="s">
        <v>33</v>
      </c>
      <c r="L839" s="2">
        <v>46104</v>
      </c>
      <c r="M839" s="2">
        <v>46117</v>
      </c>
      <c r="N839">
        <v>1395124</v>
      </c>
      <c r="O839">
        <v>32407</v>
      </c>
      <c r="P839">
        <v>1362717</v>
      </c>
      <c r="Q839" s="1" t="s">
        <v>34</v>
      </c>
      <c r="R839" s="1" t="s">
        <v>79</v>
      </c>
      <c r="S839" s="1" t="s">
        <v>37</v>
      </c>
      <c r="T839" s="1" t="s">
        <v>37</v>
      </c>
      <c r="U839">
        <v>4.5</v>
      </c>
      <c r="V839" t="s">
        <v>56</v>
      </c>
      <c r="W839">
        <v>4</v>
      </c>
      <c r="X839" s="1" t="s">
        <v>63</v>
      </c>
    </row>
    <row r="840" spans="1:24" x14ac:dyDescent="0.55000000000000004">
      <c r="A840" s="1" t="s">
        <v>924</v>
      </c>
      <c r="B840" s="1" t="s">
        <v>81</v>
      </c>
      <c r="C840">
        <v>46</v>
      </c>
      <c r="D840" s="1" t="s">
        <v>42</v>
      </c>
      <c r="E840" s="1" t="s">
        <v>27</v>
      </c>
      <c r="F840" s="1" t="s">
        <v>28</v>
      </c>
      <c r="G840" s="1" t="s">
        <v>29</v>
      </c>
      <c r="H840" s="1" t="s">
        <v>30</v>
      </c>
      <c r="I840" s="1" t="s">
        <v>59</v>
      </c>
      <c r="J840" s="1" t="s">
        <v>32</v>
      </c>
      <c r="K840" s="1" t="s">
        <v>33</v>
      </c>
      <c r="L840" s="2">
        <v>45829</v>
      </c>
      <c r="M840" s="2">
        <v>45853</v>
      </c>
      <c r="N840">
        <v>1816122</v>
      </c>
      <c r="O840">
        <v>63783</v>
      </c>
      <c r="P840">
        <v>1752339</v>
      </c>
      <c r="Q840" s="1" t="s">
        <v>47</v>
      </c>
      <c r="R840" s="1" t="s">
        <v>48</v>
      </c>
      <c r="S840" s="1" t="s">
        <v>37</v>
      </c>
      <c r="T840" s="1" t="s">
        <v>37</v>
      </c>
      <c r="U840">
        <v>3.3</v>
      </c>
      <c r="V840" t="s">
        <v>38</v>
      </c>
      <c r="W840">
        <v>7</v>
      </c>
      <c r="X840" s="1" t="s">
        <v>39</v>
      </c>
    </row>
    <row r="841" spans="1:24" x14ac:dyDescent="0.55000000000000004">
      <c r="A841" s="1" t="s">
        <v>925</v>
      </c>
      <c r="B841" s="1" t="s">
        <v>93</v>
      </c>
      <c r="C841">
        <v>25</v>
      </c>
      <c r="D841" s="1" t="s">
        <v>26</v>
      </c>
      <c r="E841" s="1" t="s">
        <v>71</v>
      </c>
      <c r="F841" s="1" t="s">
        <v>72</v>
      </c>
      <c r="G841" s="1" t="s">
        <v>29</v>
      </c>
      <c r="H841" s="1" t="s">
        <v>30</v>
      </c>
      <c r="I841" s="1" t="s">
        <v>59</v>
      </c>
      <c r="J841" s="1" t="s">
        <v>54</v>
      </c>
      <c r="K841" s="1" t="s">
        <v>46</v>
      </c>
      <c r="L841" s="2">
        <v>45756</v>
      </c>
      <c r="M841" s="2">
        <v>45765</v>
      </c>
      <c r="N841">
        <v>1854062</v>
      </c>
      <c r="O841">
        <v>62068</v>
      </c>
      <c r="P841">
        <v>1791994</v>
      </c>
      <c r="Q841" s="1" t="s">
        <v>55</v>
      </c>
      <c r="R841" s="1" t="s">
        <v>109</v>
      </c>
      <c r="S841" s="1" t="s">
        <v>36</v>
      </c>
      <c r="T841" s="1" t="s">
        <v>37</v>
      </c>
      <c r="U841">
        <v>4.8</v>
      </c>
      <c r="V841" t="s">
        <v>91</v>
      </c>
      <c r="W841">
        <v>4</v>
      </c>
      <c r="X841" s="1" t="s">
        <v>63</v>
      </c>
    </row>
    <row r="842" spans="1:24" x14ac:dyDescent="0.55000000000000004">
      <c r="A842" s="1" t="s">
        <v>926</v>
      </c>
      <c r="B842" s="1" t="s">
        <v>105</v>
      </c>
      <c r="C842">
        <v>33</v>
      </c>
      <c r="D842" s="1" t="s">
        <v>42</v>
      </c>
      <c r="E842" s="1" t="s">
        <v>52</v>
      </c>
      <c r="F842" s="1" t="s">
        <v>44</v>
      </c>
      <c r="G842" s="1" t="s">
        <v>29</v>
      </c>
      <c r="H842" s="1" t="s">
        <v>65</v>
      </c>
      <c r="I842" s="1" t="s">
        <v>59</v>
      </c>
      <c r="J842" s="1" t="s">
        <v>54</v>
      </c>
      <c r="K842" s="1" t="s">
        <v>33</v>
      </c>
      <c r="L842" s="2">
        <v>45774</v>
      </c>
      <c r="M842" s="2">
        <v>45797</v>
      </c>
      <c r="N842">
        <v>1827964</v>
      </c>
      <c r="O842">
        <v>15478</v>
      </c>
      <c r="P842">
        <v>1812486</v>
      </c>
      <c r="Q842" s="1" t="s">
        <v>66</v>
      </c>
      <c r="R842" s="1" t="s">
        <v>79</v>
      </c>
      <c r="S842" s="1" t="s">
        <v>36</v>
      </c>
      <c r="T842" s="1" t="s">
        <v>37</v>
      </c>
      <c r="U842">
        <v>3.5</v>
      </c>
      <c r="V842" t="s">
        <v>38</v>
      </c>
      <c r="W842">
        <v>5</v>
      </c>
      <c r="X842" s="1" t="s">
        <v>86</v>
      </c>
    </row>
    <row r="843" spans="1:24" x14ac:dyDescent="0.55000000000000004">
      <c r="A843" s="1" t="s">
        <v>927</v>
      </c>
      <c r="B843" s="1" t="s">
        <v>93</v>
      </c>
      <c r="C843">
        <v>48</v>
      </c>
      <c r="D843" s="1" t="s">
        <v>42</v>
      </c>
      <c r="E843" s="1" t="s">
        <v>71</v>
      </c>
      <c r="F843" s="1" t="s">
        <v>72</v>
      </c>
      <c r="G843" s="1" t="s">
        <v>29</v>
      </c>
      <c r="H843" s="1" t="s">
        <v>65</v>
      </c>
      <c r="I843" s="1" t="s">
        <v>74</v>
      </c>
      <c r="J843" s="1" t="s">
        <v>32</v>
      </c>
      <c r="K843" s="1" t="s">
        <v>33</v>
      </c>
      <c r="L843" s="2">
        <v>46101</v>
      </c>
      <c r="M843" s="2">
        <v>46127</v>
      </c>
      <c r="N843">
        <v>1436206</v>
      </c>
      <c r="O843">
        <v>66078</v>
      </c>
      <c r="P843">
        <v>1370128</v>
      </c>
      <c r="Q843" s="1" t="s">
        <v>34</v>
      </c>
      <c r="R843" s="1" t="s">
        <v>35</v>
      </c>
      <c r="S843" s="1" t="s">
        <v>37</v>
      </c>
      <c r="T843" s="1" t="s">
        <v>37</v>
      </c>
      <c r="U843">
        <v>4.4000000000000004</v>
      </c>
      <c r="V843" t="s">
        <v>38</v>
      </c>
      <c r="W843">
        <v>4</v>
      </c>
      <c r="X843" s="1" t="s">
        <v>63</v>
      </c>
    </row>
    <row r="844" spans="1:24" x14ac:dyDescent="0.55000000000000004">
      <c r="A844" s="1" t="s">
        <v>928</v>
      </c>
      <c r="B844" s="1" t="s">
        <v>62</v>
      </c>
      <c r="C844">
        <v>23</v>
      </c>
      <c r="D844" s="1" t="s">
        <v>42</v>
      </c>
      <c r="E844" s="1" t="s">
        <v>43</v>
      </c>
      <c r="F844" s="1" t="s">
        <v>44</v>
      </c>
      <c r="G844" s="1" t="s">
        <v>29</v>
      </c>
      <c r="H844" s="1" t="s">
        <v>77</v>
      </c>
      <c r="I844" s="1" t="s">
        <v>74</v>
      </c>
      <c r="J844" s="1" t="s">
        <v>54</v>
      </c>
      <c r="K844" s="1" t="s">
        <v>46</v>
      </c>
      <c r="L844" s="2">
        <v>45775</v>
      </c>
      <c r="M844" s="2">
        <v>45792</v>
      </c>
      <c r="N844">
        <v>1598294</v>
      </c>
      <c r="O844">
        <v>13016</v>
      </c>
      <c r="P844">
        <v>1585278</v>
      </c>
      <c r="Q844" s="1" t="s">
        <v>78</v>
      </c>
      <c r="R844" s="1" t="s">
        <v>35</v>
      </c>
      <c r="S844" s="1" t="s">
        <v>37</v>
      </c>
      <c r="T844" s="1" t="s">
        <v>36</v>
      </c>
      <c r="U844">
        <v>4.5999999999999996</v>
      </c>
      <c r="V844" t="s">
        <v>56</v>
      </c>
      <c r="W844">
        <v>5</v>
      </c>
      <c r="X844" s="1" t="s">
        <v>86</v>
      </c>
    </row>
    <row r="845" spans="1:24" x14ac:dyDescent="0.55000000000000004">
      <c r="A845" s="1" t="s">
        <v>929</v>
      </c>
      <c r="B845" s="1" t="s">
        <v>98</v>
      </c>
      <c r="C845">
        <v>49</v>
      </c>
      <c r="D845" s="1" t="s">
        <v>42</v>
      </c>
      <c r="E845" s="1" t="s">
        <v>27</v>
      </c>
      <c r="F845" s="1" t="s">
        <v>28</v>
      </c>
      <c r="G845" s="1" t="s">
        <v>29</v>
      </c>
      <c r="H845" s="1" t="s">
        <v>65</v>
      </c>
      <c r="I845" s="1" t="s">
        <v>53</v>
      </c>
      <c r="J845" s="1" t="s">
        <v>54</v>
      </c>
      <c r="K845" s="1" t="s">
        <v>46</v>
      </c>
      <c r="L845" s="2">
        <v>45905</v>
      </c>
      <c r="M845" s="2">
        <v>45920</v>
      </c>
      <c r="N845">
        <v>1473775</v>
      </c>
      <c r="O845">
        <v>42340</v>
      </c>
      <c r="P845">
        <v>1431435</v>
      </c>
      <c r="Q845" s="1" t="s">
        <v>47</v>
      </c>
      <c r="R845" s="1" t="s">
        <v>67</v>
      </c>
      <c r="S845" s="1" t="s">
        <v>36</v>
      </c>
      <c r="T845" s="1" t="s">
        <v>37</v>
      </c>
      <c r="U845">
        <v>3.3</v>
      </c>
      <c r="V845" t="s">
        <v>56</v>
      </c>
      <c r="W845">
        <v>9</v>
      </c>
      <c r="X845" s="1" t="s">
        <v>103</v>
      </c>
    </row>
    <row r="846" spans="1:24" x14ac:dyDescent="0.55000000000000004">
      <c r="A846" s="1" t="s">
        <v>930</v>
      </c>
      <c r="B846" s="1" t="s">
        <v>98</v>
      </c>
      <c r="C846">
        <v>35</v>
      </c>
      <c r="D846" s="1" t="s">
        <v>26</v>
      </c>
      <c r="E846" s="1" t="s">
        <v>43</v>
      </c>
      <c r="F846" s="1" t="s">
        <v>44</v>
      </c>
      <c r="G846" s="1" t="s">
        <v>29</v>
      </c>
      <c r="H846" s="1" t="s">
        <v>65</v>
      </c>
      <c r="I846" s="1" t="s">
        <v>45</v>
      </c>
      <c r="J846" s="1" t="s">
        <v>54</v>
      </c>
      <c r="K846" s="1" t="s">
        <v>46</v>
      </c>
      <c r="L846" s="2">
        <v>45930</v>
      </c>
      <c r="M846" s="2">
        <v>45938</v>
      </c>
      <c r="N846">
        <v>1658351</v>
      </c>
      <c r="O846">
        <v>98071</v>
      </c>
      <c r="P846">
        <v>1560280</v>
      </c>
      <c r="Q846" s="1" t="s">
        <v>47</v>
      </c>
      <c r="R846" s="1" t="s">
        <v>109</v>
      </c>
      <c r="S846" s="1" t="s">
        <v>36</v>
      </c>
      <c r="T846" s="1" t="s">
        <v>36</v>
      </c>
      <c r="U846">
        <v>3.2</v>
      </c>
      <c r="V846" t="s">
        <v>91</v>
      </c>
      <c r="W846">
        <v>10</v>
      </c>
      <c r="X846" s="1" t="s">
        <v>75</v>
      </c>
    </row>
    <row r="847" spans="1:24" x14ac:dyDescent="0.55000000000000004">
      <c r="A847" s="1" t="s">
        <v>931</v>
      </c>
      <c r="B847" s="1" t="s">
        <v>41</v>
      </c>
      <c r="C847">
        <v>59</v>
      </c>
      <c r="D847" s="1" t="s">
        <v>26</v>
      </c>
      <c r="E847" s="1" t="s">
        <v>27</v>
      </c>
      <c r="F847" s="1" t="s">
        <v>28</v>
      </c>
      <c r="G847" s="1" t="s">
        <v>29</v>
      </c>
      <c r="H847" s="1" t="s">
        <v>65</v>
      </c>
      <c r="I847" s="1" t="s">
        <v>53</v>
      </c>
      <c r="J847" s="1" t="s">
        <v>54</v>
      </c>
      <c r="K847" s="1" t="s">
        <v>46</v>
      </c>
      <c r="L847" s="2">
        <v>45933</v>
      </c>
      <c r="M847" s="2">
        <v>45965</v>
      </c>
      <c r="N847">
        <v>1599741</v>
      </c>
      <c r="O847">
        <v>21854</v>
      </c>
      <c r="P847">
        <v>1577887</v>
      </c>
      <c r="Q847" s="1" t="s">
        <v>47</v>
      </c>
      <c r="R847" s="1" t="s">
        <v>109</v>
      </c>
      <c r="S847" s="1" t="s">
        <v>37</v>
      </c>
      <c r="T847" s="1" t="s">
        <v>37</v>
      </c>
      <c r="U847">
        <v>3.8</v>
      </c>
      <c r="V847" t="s">
        <v>38</v>
      </c>
      <c r="W847">
        <v>11</v>
      </c>
      <c r="X847" s="1" t="s">
        <v>60</v>
      </c>
    </row>
    <row r="848" spans="1:24" x14ac:dyDescent="0.55000000000000004">
      <c r="A848" s="1" t="s">
        <v>932</v>
      </c>
      <c r="B848" s="1" t="s">
        <v>70</v>
      </c>
      <c r="C848">
        <v>28</v>
      </c>
      <c r="D848" s="1" t="s">
        <v>42</v>
      </c>
      <c r="E848" s="1" t="s">
        <v>52</v>
      </c>
      <c r="F848" s="1" t="s">
        <v>44</v>
      </c>
      <c r="G848" s="1" t="s">
        <v>29</v>
      </c>
      <c r="H848" s="1" t="s">
        <v>65</v>
      </c>
      <c r="I848" s="1" t="s">
        <v>31</v>
      </c>
      <c r="J848" s="1" t="s">
        <v>32</v>
      </c>
      <c r="K848" s="1" t="s">
        <v>33</v>
      </c>
      <c r="L848" s="2">
        <v>46087</v>
      </c>
      <c r="M848" s="2">
        <v>46128</v>
      </c>
      <c r="N848">
        <v>1785228</v>
      </c>
      <c r="O848">
        <v>60740</v>
      </c>
      <c r="P848">
        <v>1724488</v>
      </c>
      <c r="Q848" s="1" t="s">
        <v>78</v>
      </c>
      <c r="R848" s="1" t="s">
        <v>48</v>
      </c>
      <c r="S848" s="1" t="s">
        <v>37</v>
      </c>
      <c r="T848" s="1" t="s">
        <v>37</v>
      </c>
      <c r="U848">
        <v>4.9000000000000004</v>
      </c>
      <c r="V848" t="s">
        <v>38</v>
      </c>
      <c r="W848">
        <v>4</v>
      </c>
      <c r="X848" s="1" t="s">
        <v>63</v>
      </c>
    </row>
    <row r="849" spans="1:24" x14ac:dyDescent="0.55000000000000004">
      <c r="A849" s="1" t="s">
        <v>933</v>
      </c>
      <c r="B849" s="1" t="s">
        <v>93</v>
      </c>
      <c r="C849">
        <v>21</v>
      </c>
      <c r="D849" s="1" t="s">
        <v>42</v>
      </c>
      <c r="E849" s="1" t="s">
        <v>27</v>
      </c>
      <c r="F849" s="1" t="s">
        <v>28</v>
      </c>
      <c r="G849" s="1" t="s">
        <v>29</v>
      </c>
      <c r="H849" s="1" t="s">
        <v>30</v>
      </c>
      <c r="I849" s="1" t="s">
        <v>53</v>
      </c>
      <c r="J849" s="1" t="s">
        <v>54</v>
      </c>
      <c r="K849" s="1" t="s">
        <v>33</v>
      </c>
      <c r="L849" s="2">
        <v>46135</v>
      </c>
      <c r="M849" s="2">
        <v>46166</v>
      </c>
      <c r="N849">
        <v>1753482</v>
      </c>
      <c r="O849">
        <v>33726</v>
      </c>
      <c r="P849">
        <v>1719756</v>
      </c>
      <c r="Q849" s="1" t="s">
        <v>78</v>
      </c>
      <c r="R849" s="1" t="s">
        <v>48</v>
      </c>
      <c r="S849" s="1" t="s">
        <v>36</v>
      </c>
      <c r="T849" s="1" t="s">
        <v>36</v>
      </c>
      <c r="U849">
        <v>3.1</v>
      </c>
      <c r="V849" t="s">
        <v>38</v>
      </c>
      <c r="W849">
        <v>5</v>
      </c>
      <c r="X849" s="1" t="s">
        <v>86</v>
      </c>
    </row>
    <row r="850" spans="1:24" x14ac:dyDescent="0.55000000000000004">
      <c r="A850" s="1" t="s">
        <v>934</v>
      </c>
      <c r="B850" s="1" t="s">
        <v>41</v>
      </c>
      <c r="C850">
        <v>59</v>
      </c>
      <c r="D850" s="1" t="s">
        <v>26</v>
      </c>
      <c r="E850" s="1" t="s">
        <v>90</v>
      </c>
      <c r="F850" s="1" t="s">
        <v>44</v>
      </c>
      <c r="G850" s="1" t="s">
        <v>29</v>
      </c>
      <c r="H850" s="1" t="s">
        <v>65</v>
      </c>
      <c r="I850" s="1" t="s">
        <v>53</v>
      </c>
      <c r="J850" s="1" t="s">
        <v>32</v>
      </c>
      <c r="K850" s="1" t="s">
        <v>33</v>
      </c>
      <c r="L850" s="2">
        <v>45975</v>
      </c>
      <c r="M850" s="2">
        <v>46011</v>
      </c>
      <c r="N850">
        <v>1537924</v>
      </c>
      <c r="O850">
        <v>11099</v>
      </c>
      <c r="P850">
        <v>1526825</v>
      </c>
      <c r="Q850" s="1" t="s">
        <v>55</v>
      </c>
      <c r="R850" s="1" t="s">
        <v>67</v>
      </c>
      <c r="S850" s="1" t="s">
        <v>37</v>
      </c>
      <c r="T850" s="1" t="s">
        <v>37</v>
      </c>
      <c r="U850">
        <v>4.7</v>
      </c>
      <c r="V850" t="s">
        <v>38</v>
      </c>
      <c r="W850">
        <v>12</v>
      </c>
      <c r="X850" s="1" t="s">
        <v>49</v>
      </c>
    </row>
    <row r="851" spans="1:24" x14ac:dyDescent="0.55000000000000004">
      <c r="A851" s="1" t="s">
        <v>935</v>
      </c>
      <c r="B851" s="1" t="s">
        <v>25</v>
      </c>
      <c r="C851">
        <v>41</v>
      </c>
      <c r="D851" s="1" t="s">
        <v>26</v>
      </c>
      <c r="E851" s="1" t="s">
        <v>84</v>
      </c>
      <c r="F851" s="1" t="s">
        <v>85</v>
      </c>
      <c r="G851" s="1" t="s">
        <v>29</v>
      </c>
      <c r="H851" s="1" t="s">
        <v>65</v>
      </c>
      <c r="I851" s="1" t="s">
        <v>53</v>
      </c>
      <c r="J851" s="1" t="s">
        <v>54</v>
      </c>
      <c r="K851" s="1" t="s">
        <v>33</v>
      </c>
      <c r="L851" s="2">
        <v>45803</v>
      </c>
      <c r="M851" s="2">
        <v>45829</v>
      </c>
      <c r="N851">
        <v>1471970</v>
      </c>
      <c r="O851">
        <v>98708</v>
      </c>
      <c r="P851">
        <v>1373262</v>
      </c>
      <c r="Q851" s="1" t="s">
        <v>66</v>
      </c>
      <c r="R851" s="1" t="s">
        <v>35</v>
      </c>
      <c r="S851" s="1" t="s">
        <v>37</v>
      </c>
      <c r="T851" s="1" t="s">
        <v>36</v>
      </c>
      <c r="U851">
        <v>4.9000000000000004</v>
      </c>
      <c r="V851" t="s">
        <v>38</v>
      </c>
      <c r="W851">
        <v>6</v>
      </c>
      <c r="X851" s="1" t="s">
        <v>68</v>
      </c>
    </row>
    <row r="852" spans="1:24" x14ac:dyDescent="0.55000000000000004">
      <c r="A852" s="1" t="s">
        <v>936</v>
      </c>
      <c r="B852" s="1" t="s">
        <v>93</v>
      </c>
      <c r="C852">
        <v>58</v>
      </c>
      <c r="D852" s="1" t="s">
        <v>26</v>
      </c>
      <c r="E852" s="1" t="s">
        <v>43</v>
      </c>
      <c r="F852" s="1" t="s">
        <v>44</v>
      </c>
      <c r="G852" s="1" t="s">
        <v>29</v>
      </c>
      <c r="H852" s="1" t="s">
        <v>65</v>
      </c>
      <c r="I852" s="1" t="s">
        <v>53</v>
      </c>
      <c r="J852" s="1" t="s">
        <v>54</v>
      </c>
      <c r="K852" s="1" t="s">
        <v>33</v>
      </c>
      <c r="L852" s="2">
        <v>45881</v>
      </c>
      <c r="M852" s="2">
        <v>45899</v>
      </c>
      <c r="N852">
        <v>1528727</v>
      </c>
      <c r="O852">
        <v>18412</v>
      </c>
      <c r="P852">
        <v>1510315</v>
      </c>
      <c r="Q852" s="1" t="s">
        <v>78</v>
      </c>
      <c r="R852" s="1" t="s">
        <v>109</v>
      </c>
      <c r="S852" s="1" t="s">
        <v>36</v>
      </c>
      <c r="T852" s="1" t="s">
        <v>36</v>
      </c>
      <c r="U852">
        <v>4.5</v>
      </c>
      <c r="V852" t="s">
        <v>56</v>
      </c>
      <c r="W852">
        <v>8</v>
      </c>
      <c r="X852" s="1" t="s">
        <v>57</v>
      </c>
    </row>
    <row r="853" spans="1:24" x14ac:dyDescent="0.55000000000000004">
      <c r="A853" s="1" t="s">
        <v>937</v>
      </c>
      <c r="B853" s="1" t="s">
        <v>93</v>
      </c>
      <c r="C853">
        <v>49</v>
      </c>
      <c r="D853" s="1" t="s">
        <v>42</v>
      </c>
      <c r="E853" s="1" t="s">
        <v>27</v>
      </c>
      <c r="F853" s="1" t="s">
        <v>28</v>
      </c>
      <c r="G853" s="1" t="s">
        <v>29</v>
      </c>
      <c r="H853" s="1" t="s">
        <v>30</v>
      </c>
      <c r="I853" s="1" t="s">
        <v>53</v>
      </c>
      <c r="J853" s="1" t="s">
        <v>32</v>
      </c>
      <c r="K853" s="1" t="s">
        <v>46</v>
      </c>
      <c r="L853" s="2">
        <v>46175</v>
      </c>
      <c r="M853" s="2">
        <v>46214</v>
      </c>
      <c r="N853">
        <v>1504919</v>
      </c>
      <c r="O853">
        <v>41094</v>
      </c>
      <c r="P853">
        <v>1463825</v>
      </c>
      <c r="Q853" s="1" t="s">
        <v>78</v>
      </c>
      <c r="R853" s="1" t="s">
        <v>35</v>
      </c>
      <c r="S853" s="1" t="s">
        <v>36</v>
      </c>
      <c r="T853" s="1" t="s">
        <v>37</v>
      </c>
      <c r="U853">
        <v>3.5</v>
      </c>
      <c r="V853" t="s">
        <v>38</v>
      </c>
      <c r="W853">
        <v>7</v>
      </c>
      <c r="X853" s="1" t="s">
        <v>39</v>
      </c>
    </row>
    <row r="854" spans="1:24" x14ac:dyDescent="0.55000000000000004">
      <c r="A854" s="1" t="s">
        <v>938</v>
      </c>
      <c r="B854" s="1" t="s">
        <v>98</v>
      </c>
      <c r="C854">
        <v>33</v>
      </c>
      <c r="D854" s="1" t="s">
        <v>26</v>
      </c>
      <c r="E854" s="1" t="s">
        <v>43</v>
      </c>
      <c r="F854" s="1" t="s">
        <v>44</v>
      </c>
      <c r="G854" s="1" t="s">
        <v>29</v>
      </c>
      <c r="H854" s="1" t="s">
        <v>30</v>
      </c>
      <c r="I854" s="1" t="s">
        <v>74</v>
      </c>
      <c r="J854" s="1" t="s">
        <v>32</v>
      </c>
      <c r="K854" s="1" t="s">
        <v>46</v>
      </c>
      <c r="L854" s="2">
        <v>45826</v>
      </c>
      <c r="M854" s="2">
        <v>45845</v>
      </c>
      <c r="N854">
        <v>1669287</v>
      </c>
      <c r="O854">
        <v>90695</v>
      </c>
      <c r="P854">
        <v>1578592</v>
      </c>
      <c r="Q854" s="1" t="s">
        <v>66</v>
      </c>
      <c r="R854" s="1" t="s">
        <v>35</v>
      </c>
      <c r="S854" s="1" t="s">
        <v>36</v>
      </c>
      <c r="T854" s="1" t="s">
        <v>36</v>
      </c>
      <c r="U854">
        <v>3.2</v>
      </c>
      <c r="V854" t="s">
        <v>56</v>
      </c>
      <c r="W854">
        <v>7</v>
      </c>
      <c r="X854" s="1" t="s">
        <v>39</v>
      </c>
    </row>
    <row r="855" spans="1:24" x14ac:dyDescent="0.55000000000000004">
      <c r="A855" s="1" t="s">
        <v>939</v>
      </c>
      <c r="B855" s="1" t="s">
        <v>98</v>
      </c>
      <c r="C855">
        <v>36</v>
      </c>
      <c r="D855" s="1" t="s">
        <v>42</v>
      </c>
      <c r="E855" s="1" t="s">
        <v>27</v>
      </c>
      <c r="F855" s="1" t="s">
        <v>28</v>
      </c>
      <c r="G855" s="1" t="s">
        <v>29</v>
      </c>
      <c r="H855" s="1" t="s">
        <v>65</v>
      </c>
      <c r="I855" s="1" t="s">
        <v>31</v>
      </c>
      <c r="J855" s="1" t="s">
        <v>32</v>
      </c>
      <c r="K855" s="1" t="s">
        <v>46</v>
      </c>
      <c r="L855" s="2">
        <v>45681</v>
      </c>
      <c r="M855" s="2">
        <v>45704</v>
      </c>
      <c r="N855">
        <v>1662669</v>
      </c>
      <c r="O855">
        <v>21735</v>
      </c>
      <c r="P855">
        <v>1640934</v>
      </c>
      <c r="Q855" s="1" t="s">
        <v>78</v>
      </c>
      <c r="R855" s="1" t="s">
        <v>79</v>
      </c>
      <c r="S855" s="1" t="s">
        <v>36</v>
      </c>
      <c r="T855" s="1" t="s">
        <v>36</v>
      </c>
      <c r="U855">
        <v>3.6</v>
      </c>
      <c r="V855" t="s">
        <v>38</v>
      </c>
      <c r="W855">
        <v>2</v>
      </c>
      <c r="X855" s="1" t="s">
        <v>107</v>
      </c>
    </row>
    <row r="856" spans="1:24" x14ac:dyDescent="0.55000000000000004">
      <c r="A856" s="1" t="s">
        <v>940</v>
      </c>
      <c r="B856" s="1" t="s">
        <v>25</v>
      </c>
      <c r="C856">
        <v>28</v>
      </c>
      <c r="D856" s="1" t="s">
        <v>26</v>
      </c>
      <c r="E856" s="1" t="s">
        <v>90</v>
      </c>
      <c r="F856" s="1" t="s">
        <v>44</v>
      </c>
      <c r="G856" s="1" t="s">
        <v>29</v>
      </c>
      <c r="H856" s="1" t="s">
        <v>65</v>
      </c>
      <c r="I856" s="1" t="s">
        <v>59</v>
      </c>
      <c r="J856" s="1" t="s">
        <v>32</v>
      </c>
      <c r="K856" s="1" t="s">
        <v>33</v>
      </c>
      <c r="L856" s="2">
        <v>45901</v>
      </c>
      <c r="M856" s="2">
        <v>45921</v>
      </c>
      <c r="N856">
        <v>1637687</v>
      </c>
      <c r="O856">
        <v>54501</v>
      </c>
      <c r="P856">
        <v>1583186</v>
      </c>
      <c r="Q856" s="1" t="s">
        <v>78</v>
      </c>
      <c r="R856" s="1" t="s">
        <v>48</v>
      </c>
      <c r="S856" s="1" t="s">
        <v>37</v>
      </c>
      <c r="T856" s="1" t="s">
        <v>37</v>
      </c>
      <c r="U856">
        <v>4.8</v>
      </c>
      <c r="V856" t="s">
        <v>56</v>
      </c>
      <c r="W856">
        <v>9</v>
      </c>
      <c r="X856" s="1" t="s">
        <v>103</v>
      </c>
    </row>
    <row r="857" spans="1:24" x14ac:dyDescent="0.55000000000000004">
      <c r="A857" s="1" t="s">
        <v>941</v>
      </c>
      <c r="B857" s="1" t="s">
        <v>93</v>
      </c>
      <c r="C857">
        <v>25</v>
      </c>
      <c r="D857" s="1" t="s">
        <v>42</v>
      </c>
      <c r="E857" s="1" t="s">
        <v>52</v>
      </c>
      <c r="F857" s="1" t="s">
        <v>44</v>
      </c>
      <c r="G857" s="1" t="s">
        <v>29</v>
      </c>
      <c r="H857" s="1" t="s">
        <v>30</v>
      </c>
      <c r="I857" s="1" t="s">
        <v>59</v>
      </c>
      <c r="J857" s="1" t="s">
        <v>32</v>
      </c>
      <c r="K857" s="1" t="s">
        <v>33</v>
      </c>
      <c r="L857" s="2">
        <v>45817</v>
      </c>
      <c r="M857" s="2">
        <v>45834</v>
      </c>
      <c r="N857">
        <v>1848194</v>
      </c>
      <c r="O857">
        <v>37971</v>
      </c>
      <c r="P857">
        <v>1810223</v>
      </c>
      <c r="Q857" s="1" t="s">
        <v>55</v>
      </c>
      <c r="R857" s="1" t="s">
        <v>48</v>
      </c>
      <c r="S857" s="1" t="s">
        <v>37</v>
      </c>
      <c r="T857" s="1" t="s">
        <v>37</v>
      </c>
      <c r="U857">
        <v>4.8</v>
      </c>
      <c r="V857" t="s">
        <v>56</v>
      </c>
      <c r="W857">
        <v>6</v>
      </c>
      <c r="X857" s="1" t="s">
        <v>68</v>
      </c>
    </row>
    <row r="858" spans="1:24" x14ac:dyDescent="0.55000000000000004">
      <c r="A858" s="1" t="s">
        <v>942</v>
      </c>
      <c r="B858" s="1" t="s">
        <v>41</v>
      </c>
      <c r="C858">
        <v>25</v>
      </c>
      <c r="D858" s="1" t="s">
        <v>42</v>
      </c>
      <c r="E858" s="1" t="s">
        <v>71</v>
      </c>
      <c r="F858" s="1" t="s">
        <v>72</v>
      </c>
      <c r="G858" s="1" t="s">
        <v>29</v>
      </c>
      <c r="H858" s="1" t="s">
        <v>65</v>
      </c>
      <c r="I858" s="1" t="s">
        <v>45</v>
      </c>
      <c r="J858" s="1" t="s">
        <v>32</v>
      </c>
      <c r="K858" s="1" t="s">
        <v>33</v>
      </c>
      <c r="L858" s="2">
        <v>45847</v>
      </c>
      <c r="M858" s="2">
        <v>45860</v>
      </c>
      <c r="N858">
        <v>1376673</v>
      </c>
      <c r="O858">
        <v>26913</v>
      </c>
      <c r="P858">
        <v>1349760</v>
      </c>
      <c r="Q858" s="1" t="s">
        <v>78</v>
      </c>
      <c r="R858" s="1" t="s">
        <v>79</v>
      </c>
      <c r="S858" s="1" t="s">
        <v>36</v>
      </c>
      <c r="T858" s="1" t="s">
        <v>36</v>
      </c>
      <c r="U858">
        <v>3.8</v>
      </c>
      <c r="V858" t="s">
        <v>56</v>
      </c>
      <c r="W858">
        <v>7</v>
      </c>
      <c r="X858" s="1" t="s">
        <v>39</v>
      </c>
    </row>
    <row r="859" spans="1:24" x14ac:dyDescent="0.55000000000000004">
      <c r="A859" s="1" t="s">
        <v>943</v>
      </c>
      <c r="B859" s="1" t="s">
        <v>98</v>
      </c>
      <c r="C859">
        <v>24</v>
      </c>
      <c r="D859" s="1" t="s">
        <v>26</v>
      </c>
      <c r="E859" s="1" t="s">
        <v>43</v>
      </c>
      <c r="F859" s="1" t="s">
        <v>44</v>
      </c>
      <c r="G859" s="1" t="s">
        <v>29</v>
      </c>
      <c r="H859" s="1" t="s">
        <v>65</v>
      </c>
      <c r="I859" s="1" t="s">
        <v>59</v>
      </c>
      <c r="J859" s="1" t="s">
        <v>54</v>
      </c>
      <c r="K859" s="1" t="s">
        <v>46</v>
      </c>
      <c r="L859" s="2">
        <v>45880</v>
      </c>
      <c r="M859" s="2">
        <v>45896</v>
      </c>
      <c r="N859">
        <v>1661788</v>
      </c>
      <c r="O859">
        <v>12765</v>
      </c>
      <c r="P859">
        <v>1649023</v>
      </c>
      <c r="Q859" s="1" t="s">
        <v>47</v>
      </c>
      <c r="R859" s="1" t="s">
        <v>35</v>
      </c>
      <c r="S859" s="1" t="s">
        <v>37</v>
      </c>
      <c r="T859" s="1" t="s">
        <v>36</v>
      </c>
      <c r="U859">
        <v>4.5</v>
      </c>
      <c r="V859" t="s">
        <v>56</v>
      </c>
      <c r="W859">
        <v>8</v>
      </c>
      <c r="X859" s="1" t="s">
        <v>57</v>
      </c>
    </row>
    <row r="860" spans="1:24" x14ac:dyDescent="0.55000000000000004">
      <c r="A860" s="1" t="s">
        <v>944</v>
      </c>
      <c r="B860" s="1" t="s">
        <v>70</v>
      </c>
      <c r="C860">
        <v>33</v>
      </c>
      <c r="D860" s="1" t="s">
        <v>42</v>
      </c>
      <c r="E860" s="1" t="s">
        <v>90</v>
      </c>
      <c r="F860" s="1" t="s">
        <v>44</v>
      </c>
      <c r="G860" s="1" t="s">
        <v>29</v>
      </c>
      <c r="H860" s="1" t="s">
        <v>30</v>
      </c>
      <c r="I860" s="1" t="s">
        <v>45</v>
      </c>
      <c r="J860" s="1" t="s">
        <v>32</v>
      </c>
      <c r="K860" s="1" t="s">
        <v>46</v>
      </c>
      <c r="L860" s="2">
        <v>45747</v>
      </c>
      <c r="M860" s="2">
        <v>45774</v>
      </c>
      <c r="N860">
        <v>1589832</v>
      </c>
      <c r="O860">
        <v>69096</v>
      </c>
      <c r="P860">
        <v>1520736</v>
      </c>
      <c r="Q860" s="1" t="s">
        <v>34</v>
      </c>
      <c r="R860" s="1" t="s">
        <v>109</v>
      </c>
      <c r="S860" s="1" t="s">
        <v>37</v>
      </c>
      <c r="T860" s="1" t="s">
        <v>37</v>
      </c>
      <c r="U860">
        <v>4.2</v>
      </c>
      <c r="V860" t="s">
        <v>38</v>
      </c>
      <c r="W860">
        <v>4</v>
      </c>
      <c r="X860" s="1" t="s">
        <v>63</v>
      </c>
    </row>
    <row r="861" spans="1:24" x14ac:dyDescent="0.55000000000000004">
      <c r="A861" s="1" t="s">
        <v>945</v>
      </c>
      <c r="B861" s="1" t="s">
        <v>93</v>
      </c>
      <c r="C861">
        <v>45</v>
      </c>
      <c r="D861" s="1" t="s">
        <v>26</v>
      </c>
      <c r="E861" s="1" t="s">
        <v>27</v>
      </c>
      <c r="F861" s="1" t="s">
        <v>28</v>
      </c>
      <c r="G861" s="1" t="s">
        <v>29</v>
      </c>
      <c r="H861" s="1" t="s">
        <v>65</v>
      </c>
      <c r="I861" s="1" t="s">
        <v>53</v>
      </c>
      <c r="J861" s="1" t="s">
        <v>32</v>
      </c>
      <c r="K861" s="1" t="s">
        <v>33</v>
      </c>
      <c r="L861" s="2">
        <v>46108</v>
      </c>
      <c r="M861" s="2">
        <v>46146</v>
      </c>
      <c r="N861">
        <v>1722121</v>
      </c>
      <c r="O861">
        <v>40666</v>
      </c>
      <c r="P861">
        <v>1681455</v>
      </c>
      <c r="Q861" s="1" t="s">
        <v>66</v>
      </c>
      <c r="R861" s="1" t="s">
        <v>48</v>
      </c>
      <c r="S861" s="1" t="s">
        <v>36</v>
      </c>
      <c r="T861" s="1" t="s">
        <v>37</v>
      </c>
      <c r="U861">
        <v>4.3</v>
      </c>
      <c r="V861" t="s">
        <v>38</v>
      </c>
      <c r="W861">
        <v>5</v>
      </c>
      <c r="X861" s="1" t="s">
        <v>86</v>
      </c>
    </row>
    <row r="862" spans="1:24" x14ac:dyDescent="0.55000000000000004">
      <c r="A862" s="1" t="s">
        <v>946</v>
      </c>
      <c r="B862" s="1" t="s">
        <v>98</v>
      </c>
      <c r="C862">
        <v>22</v>
      </c>
      <c r="D862" s="1" t="s">
        <v>42</v>
      </c>
      <c r="E862" s="1" t="s">
        <v>71</v>
      </c>
      <c r="F862" s="1" t="s">
        <v>72</v>
      </c>
      <c r="G862" s="1" t="s">
        <v>29</v>
      </c>
      <c r="H862" s="1" t="s">
        <v>65</v>
      </c>
      <c r="I862" s="1" t="s">
        <v>45</v>
      </c>
      <c r="J862" s="1" t="s">
        <v>32</v>
      </c>
      <c r="K862" s="1" t="s">
        <v>46</v>
      </c>
      <c r="L862" s="2">
        <v>46194</v>
      </c>
      <c r="M862" s="2">
        <v>46222</v>
      </c>
      <c r="N862">
        <v>1552495</v>
      </c>
      <c r="O862">
        <v>28861</v>
      </c>
      <c r="P862">
        <v>1523634</v>
      </c>
      <c r="Q862" s="1" t="s">
        <v>66</v>
      </c>
      <c r="R862" s="1" t="s">
        <v>67</v>
      </c>
      <c r="S862" s="1" t="s">
        <v>36</v>
      </c>
      <c r="T862" s="1" t="s">
        <v>36</v>
      </c>
      <c r="U862">
        <v>4.8</v>
      </c>
      <c r="V862" t="s">
        <v>38</v>
      </c>
      <c r="W862">
        <v>7</v>
      </c>
      <c r="X862" s="1" t="s">
        <v>39</v>
      </c>
    </row>
    <row r="863" spans="1:24" x14ac:dyDescent="0.55000000000000004">
      <c r="A863" s="1" t="s">
        <v>947</v>
      </c>
      <c r="B863" s="1" t="s">
        <v>83</v>
      </c>
      <c r="C863">
        <v>57</v>
      </c>
      <c r="D863" s="1" t="s">
        <v>26</v>
      </c>
      <c r="E863" s="1" t="s">
        <v>52</v>
      </c>
      <c r="F863" s="1" t="s">
        <v>44</v>
      </c>
      <c r="G863" s="1" t="s">
        <v>29</v>
      </c>
      <c r="H863" s="1" t="s">
        <v>30</v>
      </c>
      <c r="I863" s="1" t="s">
        <v>74</v>
      </c>
      <c r="J863" s="1" t="s">
        <v>54</v>
      </c>
      <c r="K863" s="1" t="s">
        <v>46</v>
      </c>
      <c r="L863" s="2">
        <v>46169</v>
      </c>
      <c r="M863" s="2">
        <v>46176</v>
      </c>
      <c r="N863">
        <v>1352475</v>
      </c>
      <c r="O863">
        <v>89049</v>
      </c>
      <c r="P863">
        <v>1263426</v>
      </c>
      <c r="Q863" s="1" t="s">
        <v>34</v>
      </c>
      <c r="R863" s="1" t="s">
        <v>67</v>
      </c>
      <c r="S863" s="1" t="s">
        <v>37</v>
      </c>
      <c r="T863" s="1" t="s">
        <v>37</v>
      </c>
      <c r="U863">
        <v>3.4</v>
      </c>
      <c r="V863" t="s">
        <v>91</v>
      </c>
      <c r="W863">
        <v>6</v>
      </c>
      <c r="X863" s="1" t="s">
        <v>68</v>
      </c>
    </row>
    <row r="864" spans="1:24" x14ac:dyDescent="0.55000000000000004">
      <c r="A864" s="1" t="s">
        <v>948</v>
      </c>
      <c r="B864" s="1" t="s">
        <v>62</v>
      </c>
      <c r="C864">
        <v>28</v>
      </c>
      <c r="D864" s="1" t="s">
        <v>42</v>
      </c>
      <c r="E864" s="1" t="s">
        <v>90</v>
      </c>
      <c r="F864" s="1" t="s">
        <v>44</v>
      </c>
      <c r="G864" s="1" t="s">
        <v>29</v>
      </c>
      <c r="H864" s="1" t="s">
        <v>30</v>
      </c>
      <c r="I864" s="1" t="s">
        <v>59</v>
      </c>
      <c r="J864" s="1" t="s">
        <v>32</v>
      </c>
      <c r="K864" s="1" t="s">
        <v>33</v>
      </c>
      <c r="L864" s="2">
        <v>46039</v>
      </c>
      <c r="M864" s="2">
        <v>46060</v>
      </c>
      <c r="N864">
        <v>1661713</v>
      </c>
      <c r="O864">
        <v>39651</v>
      </c>
      <c r="P864">
        <v>1622062</v>
      </c>
      <c r="Q864" s="1" t="s">
        <v>55</v>
      </c>
      <c r="R864" s="1" t="s">
        <v>35</v>
      </c>
      <c r="S864" s="1" t="s">
        <v>36</v>
      </c>
      <c r="T864" s="1" t="s">
        <v>37</v>
      </c>
      <c r="U864">
        <v>3.7</v>
      </c>
      <c r="V864" t="s">
        <v>38</v>
      </c>
      <c r="W864">
        <v>2</v>
      </c>
      <c r="X864" s="1" t="s">
        <v>107</v>
      </c>
    </row>
    <row r="865" spans="1:24" x14ac:dyDescent="0.55000000000000004">
      <c r="A865" s="1" t="s">
        <v>949</v>
      </c>
      <c r="B865" s="1" t="s">
        <v>25</v>
      </c>
      <c r="C865">
        <v>27</v>
      </c>
      <c r="D865" s="1" t="s">
        <v>26</v>
      </c>
      <c r="E865" s="1" t="s">
        <v>90</v>
      </c>
      <c r="F865" s="1" t="s">
        <v>44</v>
      </c>
      <c r="G865" s="1" t="s">
        <v>29</v>
      </c>
      <c r="H865" s="1" t="s">
        <v>65</v>
      </c>
      <c r="I865" s="1" t="s">
        <v>45</v>
      </c>
      <c r="J865" s="1" t="s">
        <v>54</v>
      </c>
      <c r="K865" s="1" t="s">
        <v>33</v>
      </c>
      <c r="L865" s="2">
        <v>45916</v>
      </c>
      <c r="M865" s="2">
        <v>45945</v>
      </c>
      <c r="N865">
        <v>1713295</v>
      </c>
      <c r="O865">
        <v>18194</v>
      </c>
      <c r="P865">
        <v>1695101</v>
      </c>
      <c r="Q865" s="1" t="s">
        <v>47</v>
      </c>
      <c r="R865" s="1" t="s">
        <v>109</v>
      </c>
      <c r="S865" s="1" t="s">
        <v>36</v>
      </c>
      <c r="T865" s="1" t="s">
        <v>36</v>
      </c>
      <c r="U865">
        <v>4.8</v>
      </c>
      <c r="V865" t="s">
        <v>38</v>
      </c>
      <c r="W865">
        <v>10</v>
      </c>
      <c r="X865" s="1" t="s">
        <v>75</v>
      </c>
    </row>
    <row r="866" spans="1:24" x14ac:dyDescent="0.55000000000000004">
      <c r="A866" s="1" t="s">
        <v>950</v>
      </c>
      <c r="B866" s="1" t="s">
        <v>25</v>
      </c>
      <c r="C866">
        <v>33</v>
      </c>
      <c r="D866" s="1" t="s">
        <v>42</v>
      </c>
      <c r="E866" s="1" t="s">
        <v>90</v>
      </c>
      <c r="F866" s="1" t="s">
        <v>44</v>
      </c>
      <c r="G866" s="1" t="s">
        <v>29</v>
      </c>
      <c r="H866" s="1" t="s">
        <v>30</v>
      </c>
      <c r="I866" s="1" t="s">
        <v>31</v>
      </c>
      <c r="J866" s="1" t="s">
        <v>54</v>
      </c>
      <c r="K866" s="1" t="s">
        <v>46</v>
      </c>
      <c r="L866" s="2">
        <v>45880</v>
      </c>
      <c r="M866" s="2">
        <v>45907</v>
      </c>
      <c r="N866">
        <v>1535891</v>
      </c>
      <c r="O866">
        <v>34442</v>
      </c>
      <c r="P866">
        <v>1501449</v>
      </c>
      <c r="Q866" s="1" t="s">
        <v>47</v>
      </c>
      <c r="R866" s="1" t="s">
        <v>48</v>
      </c>
      <c r="S866" s="1" t="s">
        <v>36</v>
      </c>
      <c r="T866" s="1" t="s">
        <v>36</v>
      </c>
      <c r="U866">
        <v>5</v>
      </c>
      <c r="V866" t="s">
        <v>38</v>
      </c>
      <c r="W866">
        <v>9</v>
      </c>
      <c r="X866" s="1" t="s">
        <v>103</v>
      </c>
    </row>
    <row r="867" spans="1:24" x14ac:dyDescent="0.55000000000000004">
      <c r="A867" s="1" t="s">
        <v>951</v>
      </c>
      <c r="B867" s="1" t="s">
        <v>25</v>
      </c>
      <c r="C867">
        <v>26</v>
      </c>
      <c r="D867" s="1" t="s">
        <v>42</v>
      </c>
      <c r="E867" s="1" t="s">
        <v>84</v>
      </c>
      <c r="F867" s="1" t="s">
        <v>85</v>
      </c>
      <c r="G867" s="1" t="s">
        <v>29</v>
      </c>
      <c r="H867" s="1" t="s">
        <v>65</v>
      </c>
      <c r="I867" s="1" t="s">
        <v>53</v>
      </c>
      <c r="J867" s="1" t="s">
        <v>32</v>
      </c>
      <c r="K867" s="1" t="s">
        <v>46</v>
      </c>
      <c r="L867" s="2">
        <v>45722</v>
      </c>
      <c r="M867" s="2">
        <v>45761</v>
      </c>
      <c r="N867">
        <v>1764403</v>
      </c>
      <c r="O867">
        <v>10522</v>
      </c>
      <c r="P867">
        <v>1753881</v>
      </c>
      <c r="Q867" s="1" t="s">
        <v>55</v>
      </c>
      <c r="R867" s="1" t="s">
        <v>35</v>
      </c>
      <c r="S867" s="1" t="s">
        <v>37</v>
      </c>
      <c r="T867" s="1" t="s">
        <v>37</v>
      </c>
      <c r="U867">
        <v>4</v>
      </c>
      <c r="V867" t="s">
        <v>38</v>
      </c>
      <c r="W867">
        <v>4</v>
      </c>
      <c r="X867" s="1" t="s">
        <v>63</v>
      </c>
    </row>
    <row r="868" spans="1:24" x14ac:dyDescent="0.55000000000000004">
      <c r="A868" s="1" t="s">
        <v>952</v>
      </c>
      <c r="B868" s="1" t="s">
        <v>41</v>
      </c>
      <c r="C868">
        <v>43</v>
      </c>
      <c r="D868" s="1" t="s">
        <v>42</v>
      </c>
      <c r="E868" s="1" t="s">
        <v>90</v>
      </c>
      <c r="F868" s="1" t="s">
        <v>44</v>
      </c>
      <c r="G868" s="1" t="s">
        <v>29</v>
      </c>
      <c r="H868" s="1" t="s">
        <v>65</v>
      </c>
      <c r="I868" s="1" t="s">
        <v>74</v>
      </c>
      <c r="J868" s="1" t="s">
        <v>32</v>
      </c>
      <c r="K868" s="1" t="s">
        <v>46</v>
      </c>
      <c r="L868" s="2">
        <v>45959</v>
      </c>
      <c r="M868" s="2">
        <v>45989</v>
      </c>
      <c r="N868">
        <v>1712555</v>
      </c>
      <c r="O868">
        <v>48953</v>
      </c>
      <c r="P868">
        <v>1663602</v>
      </c>
      <c r="Q868" s="1" t="s">
        <v>47</v>
      </c>
      <c r="R868" s="1" t="s">
        <v>109</v>
      </c>
      <c r="S868" s="1" t="s">
        <v>36</v>
      </c>
      <c r="T868" s="1" t="s">
        <v>37</v>
      </c>
      <c r="U868">
        <v>3.4</v>
      </c>
      <c r="V868" t="s">
        <v>38</v>
      </c>
      <c r="W868">
        <v>11</v>
      </c>
      <c r="X868" s="1" t="s">
        <v>60</v>
      </c>
    </row>
    <row r="869" spans="1:24" x14ac:dyDescent="0.55000000000000004">
      <c r="A869" s="1" t="s">
        <v>953</v>
      </c>
      <c r="B869" s="1" t="s">
        <v>25</v>
      </c>
      <c r="C869">
        <v>27</v>
      </c>
      <c r="D869" s="1" t="s">
        <v>26</v>
      </c>
      <c r="E869" s="1" t="s">
        <v>71</v>
      </c>
      <c r="F869" s="1" t="s">
        <v>72</v>
      </c>
      <c r="G869" s="1" t="s">
        <v>29</v>
      </c>
      <c r="H869" s="1" t="s">
        <v>77</v>
      </c>
      <c r="I869" s="1" t="s">
        <v>74</v>
      </c>
      <c r="J869" s="1" t="s">
        <v>32</v>
      </c>
      <c r="K869" s="1" t="s">
        <v>33</v>
      </c>
      <c r="L869" s="2">
        <v>46173</v>
      </c>
      <c r="M869" s="2">
        <v>46209</v>
      </c>
      <c r="N869">
        <v>1307962</v>
      </c>
      <c r="O869">
        <v>19662</v>
      </c>
      <c r="P869">
        <v>1288300</v>
      </c>
      <c r="Q869" s="1" t="s">
        <v>47</v>
      </c>
      <c r="R869" s="1" t="s">
        <v>79</v>
      </c>
      <c r="S869" s="1" t="s">
        <v>37</v>
      </c>
      <c r="T869" s="1" t="s">
        <v>36</v>
      </c>
      <c r="U869">
        <v>4.5</v>
      </c>
      <c r="V869" t="s">
        <v>38</v>
      </c>
      <c r="W869">
        <v>7</v>
      </c>
      <c r="X869" s="1" t="s">
        <v>39</v>
      </c>
    </row>
    <row r="870" spans="1:24" x14ac:dyDescent="0.55000000000000004">
      <c r="A870" s="1" t="s">
        <v>954</v>
      </c>
      <c r="B870" s="1" t="s">
        <v>81</v>
      </c>
      <c r="C870">
        <v>24</v>
      </c>
      <c r="D870" s="1" t="s">
        <v>26</v>
      </c>
      <c r="E870" s="1" t="s">
        <v>71</v>
      </c>
      <c r="F870" s="1" t="s">
        <v>72</v>
      </c>
      <c r="G870" s="1" t="s">
        <v>29</v>
      </c>
      <c r="H870" s="1" t="s">
        <v>77</v>
      </c>
      <c r="I870" s="1" t="s">
        <v>31</v>
      </c>
      <c r="J870" s="1" t="s">
        <v>32</v>
      </c>
      <c r="K870" s="1" t="s">
        <v>33</v>
      </c>
      <c r="L870" s="2">
        <v>46097</v>
      </c>
      <c r="M870" s="2">
        <v>46110</v>
      </c>
      <c r="N870">
        <v>1462596</v>
      </c>
      <c r="O870">
        <v>30557</v>
      </c>
      <c r="P870">
        <v>1432039</v>
      </c>
      <c r="Q870" s="1" t="s">
        <v>34</v>
      </c>
      <c r="R870" s="1" t="s">
        <v>35</v>
      </c>
      <c r="S870" s="1" t="s">
        <v>37</v>
      </c>
      <c r="T870" s="1" t="s">
        <v>36</v>
      </c>
      <c r="U870">
        <v>3.9</v>
      </c>
      <c r="V870" t="s">
        <v>56</v>
      </c>
      <c r="W870">
        <v>3</v>
      </c>
      <c r="X870" s="1" t="s">
        <v>96</v>
      </c>
    </row>
    <row r="871" spans="1:24" x14ac:dyDescent="0.55000000000000004">
      <c r="A871" s="1" t="s">
        <v>955</v>
      </c>
      <c r="B871" s="1" t="s">
        <v>70</v>
      </c>
      <c r="C871">
        <v>32</v>
      </c>
      <c r="D871" s="1" t="s">
        <v>26</v>
      </c>
      <c r="E871" s="1" t="s">
        <v>90</v>
      </c>
      <c r="F871" s="1" t="s">
        <v>44</v>
      </c>
      <c r="G871" s="1" t="s">
        <v>29</v>
      </c>
      <c r="H871" s="1" t="s">
        <v>65</v>
      </c>
      <c r="I871" s="1" t="s">
        <v>59</v>
      </c>
      <c r="J871" s="1" t="s">
        <v>54</v>
      </c>
      <c r="K871" s="1" t="s">
        <v>46</v>
      </c>
      <c r="L871" s="2">
        <v>46067</v>
      </c>
      <c r="M871" s="2">
        <v>46098</v>
      </c>
      <c r="N871">
        <v>1890960</v>
      </c>
      <c r="O871">
        <v>41932</v>
      </c>
      <c r="P871">
        <v>1849028</v>
      </c>
      <c r="Q871" s="1" t="s">
        <v>47</v>
      </c>
      <c r="R871" s="1" t="s">
        <v>109</v>
      </c>
      <c r="S871" s="1" t="s">
        <v>36</v>
      </c>
      <c r="T871" s="1" t="s">
        <v>36</v>
      </c>
      <c r="U871">
        <v>4</v>
      </c>
      <c r="V871" t="s">
        <v>38</v>
      </c>
      <c r="W871">
        <v>3</v>
      </c>
      <c r="X871" s="1" t="s">
        <v>96</v>
      </c>
    </row>
    <row r="872" spans="1:24" x14ac:dyDescent="0.55000000000000004">
      <c r="A872" s="1" t="s">
        <v>956</v>
      </c>
      <c r="B872" s="1" t="s">
        <v>83</v>
      </c>
      <c r="C872">
        <v>32</v>
      </c>
      <c r="D872" s="1" t="s">
        <v>42</v>
      </c>
      <c r="E872" s="1" t="s">
        <v>43</v>
      </c>
      <c r="F872" s="1" t="s">
        <v>44</v>
      </c>
      <c r="G872" s="1" t="s">
        <v>29</v>
      </c>
      <c r="H872" s="1" t="s">
        <v>65</v>
      </c>
      <c r="I872" s="1" t="s">
        <v>59</v>
      </c>
      <c r="J872" s="1" t="s">
        <v>32</v>
      </c>
      <c r="K872" s="1" t="s">
        <v>33</v>
      </c>
      <c r="L872" s="2">
        <v>45916</v>
      </c>
      <c r="M872" s="2">
        <v>45950</v>
      </c>
      <c r="N872">
        <v>1507288</v>
      </c>
      <c r="O872">
        <v>38503</v>
      </c>
      <c r="P872">
        <v>1468785</v>
      </c>
      <c r="Q872" s="1" t="s">
        <v>55</v>
      </c>
      <c r="R872" s="1" t="s">
        <v>67</v>
      </c>
      <c r="S872" s="1" t="s">
        <v>37</v>
      </c>
      <c r="T872" s="1" t="s">
        <v>37</v>
      </c>
      <c r="U872">
        <v>3.2</v>
      </c>
      <c r="V872" t="s">
        <v>38</v>
      </c>
      <c r="W872">
        <v>10</v>
      </c>
      <c r="X872" s="1" t="s">
        <v>75</v>
      </c>
    </row>
    <row r="873" spans="1:24" x14ac:dyDescent="0.55000000000000004">
      <c r="A873" s="1" t="s">
        <v>957</v>
      </c>
      <c r="B873" s="1" t="s">
        <v>98</v>
      </c>
      <c r="C873">
        <v>21</v>
      </c>
      <c r="D873" s="1" t="s">
        <v>42</v>
      </c>
      <c r="E873" s="1" t="s">
        <v>84</v>
      </c>
      <c r="F873" s="1" t="s">
        <v>85</v>
      </c>
      <c r="G873" s="1" t="s">
        <v>29</v>
      </c>
      <c r="H873" s="1" t="s">
        <v>65</v>
      </c>
      <c r="I873" s="1" t="s">
        <v>45</v>
      </c>
      <c r="J873" s="1" t="s">
        <v>32</v>
      </c>
      <c r="K873" s="1" t="s">
        <v>46</v>
      </c>
      <c r="L873" s="2">
        <v>45664</v>
      </c>
      <c r="M873" s="2">
        <v>45708</v>
      </c>
      <c r="N873">
        <v>1573313</v>
      </c>
      <c r="O873">
        <v>59139</v>
      </c>
      <c r="P873">
        <v>1514174</v>
      </c>
      <c r="Q873" s="1" t="s">
        <v>78</v>
      </c>
      <c r="R873" s="1" t="s">
        <v>67</v>
      </c>
      <c r="S873" s="1" t="s">
        <v>36</v>
      </c>
      <c r="T873" s="1" t="s">
        <v>36</v>
      </c>
      <c r="U873">
        <v>4.7</v>
      </c>
      <c r="V873" t="s">
        <v>38</v>
      </c>
      <c r="W873">
        <v>2</v>
      </c>
      <c r="X873" s="1" t="s">
        <v>107</v>
      </c>
    </row>
    <row r="874" spans="1:24" x14ac:dyDescent="0.55000000000000004">
      <c r="A874" s="1" t="s">
        <v>958</v>
      </c>
      <c r="B874" s="1" t="s">
        <v>105</v>
      </c>
      <c r="C874">
        <v>37</v>
      </c>
      <c r="D874" s="1" t="s">
        <v>42</v>
      </c>
      <c r="E874" s="1" t="s">
        <v>27</v>
      </c>
      <c r="F874" s="1" t="s">
        <v>28</v>
      </c>
      <c r="G874" s="1" t="s">
        <v>29</v>
      </c>
      <c r="H874" s="1" t="s">
        <v>77</v>
      </c>
      <c r="I874" s="1" t="s">
        <v>31</v>
      </c>
      <c r="J874" s="1" t="s">
        <v>32</v>
      </c>
      <c r="K874" s="1" t="s">
        <v>33</v>
      </c>
      <c r="L874" s="2">
        <v>45699</v>
      </c>
      <c r="M874" s="2">
        <v>45707</v>
      </c>
      <c r="N874">
        <v>1532589</v>
      </c>
      <c r="O874">
        <v>25539</v>
      </c>
      <c r="P874">
        <v>1507050</v>
      </c>
      <c r="Q874" s="1" t="s">
        <v>34</v>
      </c>
      <c r="R874" s="1" t="s">
        <v>109</v>
      </c>
      <c r="S874" s="1" t="s">
        <v>37</v>
      </c>
      <c r="T874" s="1" t="s">
        <v>36</v>
      </c>
      <c r="U874">
        <v>4.5999999999999996</v>
      </c>
      <c r="V874" t="s">
        <v>91</v>
      </c>
      <c r="W874">
        <v>2</v>
      </c>
      <c r="X874" s="1" t="s">
        <v>107</v>
      </c>
    </row>
    <row r="875" spans="1:24" x14ac:dyDescent="0.55000000000000004">
      <c r="A875" s="1" t="s">
        <v>959</v>
      </c>
      <c r="B875" s="1" t="s">
        <v>41</v>
      </c>
      <c r="C875">
        <v>22</v>
      </c>
      <c r="D875" s="1" t="s">
        <v>26</v>
      </c>
      <c r="E875" s="1" t="s">
        <v>27</v>
      </c>
      <c r="F875" s="1" t="s">
        <v>28</v>
      </c>
      <c r="G875" s="1" t="s">
        <v>29</v>
      </c>
      <c r="H875" s="1" t="s">
        <v>30</v>
      </c>
      <c r="I875" s="1" t="s">
        <v>53</v>
      </c>
      <c r="J875" s="1" t="s">
        <v>32</v>
      </c>
      <c r="K875" s="1" t="s">
        <v>46</v>
      </c>
      <c r="L875" s="2">
        <v>46179</v>
      </c>
      <c r="M875" s="2">
        <v>46188</v>
      </c>
      <c r="N875">
        <v>1767062</v>
      </c>
      <c r="O875">
        <v>23644</v>
      </c>
      <c r="P875">
        <v>1743418</v>
      </c>
      <c r="Q875" s="1" t="s">
        <v>78</v>
      </c>
      <c r="R875" s="1" t="s">
        <v>35</v>
      </c>
      <c r="S875" s="1" t="s">
        <v>36</v>
      </c>
      <c r="T875" s="1" t="s">
        <v>36</v>
      </c>
      <c r="U875">
        <v>5</v>
      </c>
      <c r="V875" t="s">
        <v>91</v>
      </c>
      <c r="W875">
        <v>6</v>
      </c>
      <c r="X875" s="1" t="s">
        <v>68</v>
      </c>
    </row>
    <row r="876" spans="1:24" x14ac:dyDescent="0.55000000000000004">
      <c r="A876" s="1" t="s">
        <v>960</v>
      </c>
      <c r="B876" s="1" t="s">
        <v>62</v>
      </c>
      <c r="C876">
        <v>48</v>
      </c>
      <c r="D876" s="1" t="s">
        <v>26</v>
      </c>
      <c r="E876" s="1" t="s">
        <v>52</v>
      </c>
      <c r="F876" s="1" t="s">
        <v>44</v>
      </c>
      <c r="G876" s="1" t="s">
        <v>29</v>
      </c>
      <c r="H876" s="1" t="s">
        <v>65</v>
      </c>
      <c r="I876" s="1" t="s">
        <v>74</v>
      </c>
      <c r="J876" s="1" t="s">
        <v>54</v>
      </c>
      <c r="K876" s="1" t="s">
        <v>33</v>
      </c>
      <c r="L876" s="2">
        <v>45666</v>
      </c>
      <c r="M876" s="2">
        <v>45689</v>
      </c>
      <c r="N876">
        <v>1630216</v>
      </c>
      <c r="O876">
        <v>67563</v>
      </c>
      <c r="P876">
        <v>1562653</v>
      </c>
      <c r="Q876" s="1" t="s">
        <v>34</v>
      </c>
      <c r="R876" s="1" t="s">
        <v>67</v>
      </c>
      <c r="S876" s="1" t="s">
        <v>36</v>
      </c>
      <c r="T876" s="1" t="s">
        <v>37</v>
      </c>
      <c r="U876">
        <v>4.5</v>
      </c>
      <c r="V876" t="s">
        <v>38</v>
      </c>
      <c r="W876">
        <v>2</v>
      </c>
      <c r="X876" s="1" t="s">
        <v>107</v>
      </c>
    </row>
    <row r="877" spans="1:24" x14ac:dyDescent="0.55000000000000004">
      <c r="A877" s="1" t="s">
        <v>961</v>
      </c>
      <c r="B877" s="1" t="s">
        <v>81</v>
      </c>
      <c r="C877">
        <v>59</v>
      </c>
      <c r="D877" s="1" t="s">
        <v>26</v>
      </c>
      <c r="E877" s="1" t="s">
        <v>84</v>
      </c>
      <c r="F877" s="1" t="s">
        <v>85</v>
      </c>
      <c r="G877" s="1" t="s">
        <v>29</v>
      </c>
      <c r="H877" s="1" t="s">
        <v>30</v>
      </c>
      <c r="I877" s="1" t="s">
        <v>59</v>
      </c>
      <c r="J877" s="1" t="s">
        <v>54</v>
      </c>
      <c r="K877" s="1" t="s">
        <v>46</v>
      </c>
      <c r="L877" s="2">
        <v>46089</v>
      </c>
      <c r="M877" s="2">
        <v>46109</v>
      </c>
      <c r="N877">
        <v>1872271</v>
      </c>
      <c r="O877">
        <v>94361</v>
      </c>
      <c r="P877">
        <v>1777910</v>
      </c>
      <c r="Q877" s="1" t="s">
        <v>66</v>
      </c>
      <c r="R877" s="1" t="s">
        <v>35</v>
      </c>
      <c r="S877" s="1" t="s">
        <v>37</v>
      </c>
      <c r="T877" s="1" t="s">
        <v>36</v>
      </c>
      <c r="U877">
        <v>3.5</v>
      </c>
      <c r="V877" t="s">
        <v>56</v>
      </c>
      <c r="W877">
        <v>3</v>
      </c>
      <c r="X877" s="1" t="s">
        <v>96</v>
      </c>
    </row>
    <row r="878" spans="1:24" x14ac:dyDescent="0.55000000000000004">
      <c r="A878" s="1" t="s">
        <v>962</v>
      </c>
      <c r="B878" s="1" t="s">
        <v>41</v>
      </c>
      <c r="C878">
        <v>34</v>
      </c>
      <c r="D878" s="1" t="s">
        <v>26</v>
      </c>
      <c r="E878" s="1" t="s">
        <v>27</v>
      </c>
      <c r="F878" s="1" t="s">
        <v>28</v>
      </c>
      <c r="G878" s="1" t="s">
        <v>29</v>
      </c>
      <c r="H878" s="1" t="s">
        <v>30</v>
      </c>
      <c r="I878" s="1" t="s">
        <v>59</v>
      </c>
      <c r="J878" s="1" t="s">
        <v>32</v>
      </c>
      <c r="K878" s="1" t="s">
        <v>46</v>
      </c>
      <c r="L878" s="2">
        <v>46032</v>
      </c>
      <c r="M878" s="2">
        <v>46046</v>
      </c>
      <c r="N878">
        <v>1572902</v>
      </c>
      <c r="O878">
        <v>74262</v>
      </c>
      <c r="P878">
        <v>1498640</v>
      </c>
      <c r="Q878" s="1" t="s">
        <v>78</v>
      </c>
      <c r="R878" s="1" t="s">
        <v>79</v>
      </c>
      <c r="S878" s="1" t="s">
        <v>37</v>
      </c>
      <c r="T878" s="1" t="s">
        <v>37</v>
      </c>
      <c r="U878">
        <v>4.3</v>
      </c>
      <c r="V878" t="s">
        <v>56</v>
      </c>
      <c r="W878">
        <v>1</v>
      </c>
      <c r="X878" s="1" t="s">
        <v>88</v>
      </c>
    </row>
    <row r="879" spans="1:24" x14ac:dyDescent="0.55000000000000004">
      <c r="A879" s="1" t="s">
        <v>963</v>
      </c>
      <c r="B879" s="1" t="s">
        <v>70</v>
      </c>
      <c r="C879">
        <v>23</v>
      </c>
      <c r="D879" s="1" t="s">
        <v>42</v>
      </c>
      <c r="E879" s="1" t="s">
        <v>71</v>
      </c>
      <c r="F879" s="1" t="s">
        <v>72</v>
      </c>
      <c r="G879" s="1" t="s">
        <v>29</v>
      </c>
      <c r="H879" s="1" t="s">
        <v>77</v>
      </c>
      <c r="I879" s="1" t="s">
        <v>31</v>
      </c>
      <c r="J879" s="1" t="s">
        <v>54</v>
      </c>
      <c r="K879" s="1" t="s">
        <v>33</v>
      </c>
      <c r="L879" s="2">
        <v>45708</v>
      </c>
      <c r="M879" s="2">
        <v>45718</v>
      </c>
      <c r="N879">
        <v>1301714</v>
      </c>
      <c r="O879">
        <v>46487</v>
      </c>
      <c r="P879">
        <v>1255227</v>
      </c>
      <c r="Q879" s="1" t="s">
        <v>66</v>
      </c>
      <c r="R879" s="1" t="s">
        <v>35</v>
      </c>
      <c r="S879" s="1" t="s">
        <v>36</v>
      </c>
      <c r="T879" s="1" t="s">
        <v>37</v>
      </c>
      <c r="U879">
        <v>4.3</v>
      </c>
      <c r="V879" t="s">
        <v>91</v>
      </c>
      <c r="W879">
        <v>3</v>
      </c>
      <c r="X879" s="1" t="s">
        <v>96</v>
      </c>
    </row>
    <row r="880" spans="1:24" x14ac:dyDescent="0.55000000000000004">
      <c r="A880" s="1" t="s">
        <v>964</v>
      </c>
      <c r="B880" s="1" t="s">
        <v>81</v>
      </c>
      <c r="C880">
        <v>52</v>
      </c>
      <c r="D880" s="1" t="s">
        <v>42</v>
      </c>
      <c r="E880" s="1" t="s">
        <v>90</v>
      </c>
      <c r="F880" s="1" t="s">
        <v>44</v>
      </c>
      <c r="G880" s="1" t="s">
        <v>29</v>
      </c>
      <c r="H880" s="1" t="s">
        <v>77</v>
      </c>
      <c r="I880" s="1" t="s">
        <v>74</v>
      </c>
      <c r="J880" s="1" t="s">
        <v>54</v>
      </c>
      <c r="K880" s="1" t="s">
        <v>46</v>
      </c>
      <c r="L880" s="2">
        <v>45693</v>
      </c>
      <c r="M880" s="2">
        <v>45708</v>
      </c>
      <c r="N880">
        <v>1894724</v>
      </c>
      <c r="O880">
        <v>85691</v>
      </c>
      <c r="P880">
        <v>1809033</v>
      </c>
      <c r="Q880" s="1" t="s">
        <v>66</v>
      </c>
      <c r="R880" s="1" t="s">
        <v>109</v>
      </c>
      <c r="S880" s="1" t="s">
        <v>36</v>
      </c>
      <c r="T880" s="1" t="s">
        <v>37</v>
      </c>
      <c r="U880">
        <v>4</v>
      </c>
      <c r="V880" t="s">
        <v>56</v>
      </c>
      <c r="W880">
        <v>2</v>
      </c>
      <c r="X880" s="1" t="s">
        <v>107</v>
      </c>
    </row>
    <row r="881" spans="1:24" x14ac:dyDescent="0.55000000000000004">
      <c r="A881" s="1" t="s">
        <v>965</v>
      </c>
      <c r="B881" s="1" t="s">
        <v>105</v>
      </c>
      <c r="C881">
        <v>24</v>
      </c>
      <c r="D881" s="1" t="s">
        <v>26</v>
      </c>
      <c r="E881" s="1" t="s">
        <v>27</v>
      </c>
      <c r="F881" s="1" t="s">
        <v>28</v>
      </c>
      <c r="G881" s="1" t="s">
        <v>29</v>
      </c>
      <c r="H881" s="1" t="s">
        <v>30</v>
      </c>
      <c r="I881" s="1" t="s">
        <v>45</v>
      </c>
      <c r="J881" s="1" t="s">
        <v>32</v>
      </c>
      <c r="K881" s="1" t="s">
        <v>46</v>
      </c>
      <c r="L881" s="2">
        <v>45843</v>
      </c>
      <c r="M881" s="2">
        <v>45850</v>
      </c>
      <c r="N881">
        <v>1776974</v>
      </c>
      <c r="O881">
        <v>82495</v>
      </c>
      <c r="P881">
        <v>1694479</v>
      </c>
      <c r="Q881" s="1" t="s">
        <v>55</v>
      </c>
      <c r="R881" s="1" t="s">
        <v>67</v>
      </c>
      <c r="S881" s="1" t="s">
        <v>36</v>
      </c>
      <c r="T881" s="1" t="s">
        <v>37</v>
      </c>
      <c r="U881">
        <v>3.1</v>
      </c>
      <c r="V881" t="s">
        <v>91</v>
      </c>
      <c r="W881">
        <v>7</v>
      </c>
      <c r="X881" s="1" t="s">
        <v>39</v>
      </c>
    </row>
    <row r="882" spans="1:24" x14ac:dyDescent="0.55000000000000004">
      <c r="A882" s="1" t="s">
        <v>966</v>
      </c>
      <c r="B882" s="1" t="s">
        <v>70</v>
      </c>
      <c r="C882">
        <v>38</v>
      </c>
      <c r="D882" s="1" t="s">
        <v>42</v>
      </c>
      <c r="E882" s="1" t="s">
        <v>90</v>
      </c>
      <c r="F882" s="1" t="s">
        <v>44</v>
      </c>
      <c r="G882" s="1" t="s">
        <v>29</v>
      </c>
      <c r="H882" s="1" t="s">
        <v>65</v>
      </c>
      <c r="I882" s="1" t="s">
        <v>53</v>
      </c>
      <c r="J882" s="1" t="s">
        <v>32</v>
      </c>
      <c r="K882" s="1" t="s">
        <v>33</v>
      </c>
      <c r="L882" s="2">
        <v>45879</v>
      </c>
      <c r="M882" s="2">
        <v>45903</v>
      </c>
      <c r="N882">
        <v>1848026</v>
      </c>
      <c r="O882">
        <v>21329</v>
      </c>
      <c r="P882">
        <v>1826697</v>
      </c>
      <c r="Q882" s="1" t="s">
        <v>66</v>
      </c>
      <c r="R882" s="1" t="s">
        <v>35</v>
      </c>
      <c r="S882" s="1" t="s">
        <v>37</v>
      </c>
      <c r="T882" s="1" t="s">
        <v>36</v>
      </c>
      <c r="U882">
        <v>3.5</v>
      </c>
      <c r="V882" t="s">
        <v>38</v>
      </c>
      <c r="W882">
        <v>9</v>
      </c>
      <c r="X882" s="1" t="s">
        <v>103</v>
      </c>
    </row>
    <row r="883" spans="1:24" x14ac:dyDescent="0.55000000000000004">
      <c r="A883" s="1" t="s">
        <v>967</v>
      </c>
      <c r="B883" s="1" t="s">
        <v>41</v>
      </c>
      <c r="C883">
        <v>22</v>
      </c>
      <c r="D883" s="1" t="s">
        <v>26</v>
      </c>
      <c r="E883" s="1" t="s">
        <v>43</v>
      </c>
      <c r="F883" s="1" t="s">
        <v>44</v>
      </c>
      <c r="G883" s="1" t="s">
        <v>29</v>
      </c>
      <c r="H883" s="1" t="s">
        <v>65</v>
      </c>
      <c r="I883" s="1" t="s">
        <v>74</v>
      </c>
      <c r="J883" s="1" t="s">
        <v>54</v>
      </c>
      <c r="K883" s="1" t="s">
        <v>46</v>
      </c>
      <c r="L883" s="2">
        <v>46055</v>
      </c>
      <c r="M883" s="2">
        <v>46099</v>
      </c>
      <c r="N883">
        <v>1726368</v>
      </c>
      <c r="O883">
        <v>11427</v>
      </c>
      <c r="P883">
        <v>1714941</v>
      </c>
      <c r="Q883" s="1" t="s">
        <v>47</v>
      </c>
      <c r="R883" s="1" t="s">
        <v>48</v>
      </c>
      <c r="S883" s="1" t="s">
        <v>37</v>
      </c>
      <c r="T883" s="1" t="s">
        <v>37</v>
      </c>
      <c r="U883">
        <v>3</v>
      </c>
      <c r="V883" t="s">
        <v>38</v>
      </c>
      <c r="W883">
        <v>3</v>
      </c>
      <c r="X883" s="1" t="s">
        <v>96</v>
      </c>
    </row>
    <row r="884" spans="1:24" x14ac:dyDescent="0.55000000000000004">
      <c r="A884" s="1" t="s">
        <v>968</v>
      </c>
      <c r="B884" s="1" t="s">
        <v>83</v>
      </c>
      <c r="C884">
        <v>44</v>
      </c>
      <c r="D884" s="1" t="s">
        <v>26</v>
      </c>
      <c r="E884" s="1" t="s">
        <v>71</v>
      </c>
      <c r="F884" s="1" t="s">
        <v>72</v>
      </c>
      <c r="G884" s="1" t="s">
        <v>29</v>
      </c>
      <c r="H884" s="1" t="s">
        <v>30</v>
      </c>
      <c r="I884" s="1" t="s">
        <v>53</v>
      </c>
      <c r="J884" s="1" t="s">
        <v>32</v>
      </c>
      <c r="K884" s="1" t="s">
        <v>33</v>
      </c>
      <c r="L884" s="2">
        <v>45860</v>
      </c>
      <c r="M884" s="2">
        <v>45886</v>
      </c>
      <c r="N884">
        <v>1515510</v>
      </c>
      <c r="O884">
        <v>47057</v>
      </c>
      <c r="P884">
        <v>1468453</v>
      </c>
      <c r="Q884" s="1" t="s">
        <v>47</v>
      </c>
      <c r="R884" s="1" t="s">
        <v>67</v>
      </c>
      <c r="S884" s="1" t="s">
        <v>36</v>
      </c>
      <c r="T884" s="1" t="s">
        <v>37</v>
      </c>
      <c r="U884">
        <v>4.2</v>
      </c>
      <c r="V884" t="s">
        <v>38</v>
      </c>
      <c r="W884">
        <v>8</v>
      </c>
      <c r="X884" s="1" t="s">
        <v>57</v>
      </c>
    </row>
    <row r="885" spans="1:24" x14ac:dyDescent="0.55000000000000004">
      <c r="A885" s="1" t="s">
        <v>969</v>
      </c>
      <c r="B885" s="1" t="s">
        <v>105</v>
      </c>
      <c r="C885">
        <v>46</v>
      </c>
      <c r="D885" s="1" t="s">
        <v>26</v>
      </c>
      <c r="E885" s="1" t="s">
        <v>27</v>
      </c>
      <c r="F885" s="1" t="s">
        <v>28</v>
      </c>
      <c r="G885" s="1" t="s">
        <v>29</v>
      </c>
      <c r="H885" s="1" t="s">
        <v>30</v>
      </c>
      <c r="I885" s="1" t="s">
        <v>45</v>
      </c>
      <c r="J885" s="1" t="s">
        <v>32</v>
      </c>
      <c r="K885" s="1" t="s">
        <v>46</v>
      </c>
      <c r="L885" s="2">
        <v>45909</v>
      </c>
      <c r="M885" s="2">
        <v>45928</v>
      </c>
      <c r="N885">
        <v>1406999</v>
      </c>
      <c r="O885">
        <v>22745</v>
      </c>
      <c r="P885">
        <v>1384254</v>
      </c>
      <c r="Q885" s="1" t="s">
        <v>34</v>
      </c>
      <c r="R885" s="1" t="s">
        <v>79</v>
      </c>
      <c r="S885" s="1" t="s">
        <v>37</v>
      </c>
      <c r="T885" s="1" t="s">
        <v>36</v>
      </c>
      <c r="U885">
        <v>4.5</v>
      </c>
      <c r="V885" t="s">
        <v>56</v>
      </c>
      <c r="W885">
        <v>9</v>
      </c>
      <c r="X885" s="1" t="s">
        <v>103</v>
      </c>
    </row>
    <row r="886" spans="1:24" x14ac:dyDescent="0.55000000000000004">
      <c r="A886" s="1" t="s">
        <v>970</v>
      </c>
      <c r="B886" s="1" t="s">
        <v>98</v>
      </c>
      <c r="C886">
        <v>32</v>
      </c>
      <c r="D886" s="1" t="s">
        <v>26</v>
      </c>
      <c r="E886" s="1" t="s">
        <v>43</v>
      </c>
      <c r="F886" s="1" t="s">
        <v>44</v>
      </c>
      <c r="G886" s="1" t="s">
        <v>29</v>
      </c>
      <c r="H886" s="1" t="s">
        <v>65</v>
      </c>
      <c r="I886" s="1" t="s">
        <v>53</v>
      </c>
      <c r="J886" s="1" t="s">
        <v>32</v>
      </c>
      <c r="K886" s="1" t="s">
        <v>46</v>
      </c>
      <c r="L886" s="2">
        <v>45850</v>
      </c>
      <c r="M886" s="2">
        <v>45891</v>
      </c>
      <c r="N886">
        <v>1405115</v>
      </c>
      <c r="O886">
        <v>37669</v>
      </c>
      <c r="P886">
        <v>1367446</v>
      </c>
      <c r="Q886" s="1" t="s">
        <v>78</v>
      </c>
      <c r="R886" s="1" t="s">
        <v>35</v>
      </c>
      <c r="S886" s="1" t="s">
        <v>36</v>
      </c>
      <c r="T886" s="1" t="s">
        <v>36</v>
      </c>
      <c r="U886">
        <v>4.4000000000000004</v>
      </c>
      <c r="V886" t="s">
        <v>38</v>
      </c>
      <c r="W886">
        <v>8</v>
      </c>
      <c r="X886" s="1" t="s">
        <v>57</v>
      </c>
    </row>
    <row r="887" spans="1:24" x14ac:dyDescent="0.55000000000000004">
      <c r="A887" s="1" t="s">
        <v>971</v>
      </c>
      <c r="B887" s="1" t="s">
        <v>41</v>
      </c>
      <c r="C887">
        <v>42</v>
      </c>
      <c r="D887" s="1" t="s">
        <v>26</v>
      </c>
      <c r="E887" s="1" t="s">
        <v>27</v>
      </c>
      <c r="F887" s="1" t="s">
        <v>28</v>
      </c>
      <c r="G887" s="1" t="s">
        <v>29</v>
      </c>
      <c r="H887" s="1" t="s">
        <v>65</v>
      </c>
      <c r="I887" s="1" t="s">
        <v>31</v>
      </c>
      <c r="J887" s="1" t="s">
        <v>32</v>
      </c>
      <c r="K887" s="1" t="s">
        <v>46</v>
      </c>
      <c r="L887" s="2">
        <v>45971</v>
      </c>
      <c r="M887" s="2">
        <v>46005</v>
      </c>
      <c r="N887">
        <v>1434100</v>
      </c>
      <c r="O887">
        <v>85400</v>
      </c>
      <c r="P887">
        <v>1348700</v>
      </c>
      <c r="Q887" s="1" t="s">
        <v>34</v>
      </c>
      <c r="R887" s="1" t="s">
        <v>48</v>
      </c>
      <c r="S887" s="1" t="s">
        <v>37</v>
      </c>
      <c r="T887" s="1" t="s">
        <v>36</v>
      </c>
      <c r="U887">
        <v>4.9000000000000004</v>
      </c>
      <c r="V887" t="s">
        <v>38</v>
      </c>
      <c r="W887">
        <v>12</v>
      </c>
      <c r="X887" s="1" t="s">
        <v>49</v>
      </c>
    </row>
    <row r="888" spans="1:24" x14ac:dyDescent="0.55000000000000004">
      <c r="A888" s="1" t="s">
        <v>972</v>
      </c>
      <c r="B888" s="1" t="s">
        <v>81</v>
      </c>
      <c r="C888">
        <v>26</v>
      </c>
      <c r="D888" s="1" t="s">
        <v>26</v>
      </c>
      <c r="E888" s="1" t="s">
        <v>52</v>
      </c>
      <c r="F888" s="1" t="s">
        <v>44</v>
      </c>
      <c r="G888" s="1" t="s">
        <v>29</v>
      </c>
      <c r="H888" s="1" t="s">
        <v>65</v>
      </c>
      <c r="I888" s="1" t="s">
        <v>31</v>
      </c>
      <c r="J888" s="1" t="s">
        <v>54</v>
      </c>
      <c r="K888" s="1" t="s">
        <v>46</v>
      </c>
      <c r="L888" s="2">
        <v>45741</v>
      </c>
      <c r="M888" s="2">
        <v>45784</v>
      </c>
      <c r="N888">
        <v>1547106</v>
      </c>
      <c r="O888">
        <v>44855</v>
      </c>
      <c r="P888">
        <v>1502251</v>
      </c>
      <c r="Q888" s="1" t="s">
        <v>66</v>
      </c>
      <c r="R888" s="1" t="s">
        <v>67</v>
      </c>
      <c r="S888" s="1" t="s">
        <v>36</v>
      </c>
      <c r="T888" s="1" t="s">
        <v>36</v>
      </c>
      <c r="U888">
        <v>4</v>
      </c>
      <c r="V888" t="s">
        <v>38</v>
      </c>
      <c r="W888">
        <v>5</v>
      </c>
      <c r="X888" s="1" t="s">
        <v>86</v>
      </c>
    </row>
    <row r="889" spans="1:24" x14ac:dyDescent="0.55000000000000004">
      <c r="A889" s="1" t="s">
        <v>973</v>
      </c>
      <c r="B889" s="1" t="s">
        <v>98</v>
      </c>
      <c r="C889">
        <v>59</v>
      </c>
      <c r="D889" s="1" t="s">
        <v>26</v>
      </c>
      <c r="E889" s="1" t="s">
        <v>43</v>
      </c>
      <c r="F889" s="1" t="s">
        <v>44</v>
      </c>
      <c r="G889" s="1" t="s">
        <v>29</v>
      </c>
      <c r="H889" s="1" t="s">
        <v>30</v>
      </c>
      <c r="I889" s="1" t="s">
        <v>31</v>
      </c>
      <c r="J889" s="1" t="s">
        <v>54</v>
      </c>
      <c r="K889" s="1" t="s">
        <v>33</v>
      </c>
      <c r="L889" s="2">
        <v>45893</v>
      </c>
      <c r="M889" s="2">
        <v>45913</v>
      </c>
      <c r="N889">
        <v>1511138</v>
      </c>
      <c r="O889">
        <v>96803</v>
      </c>
      <c r="P889">
        <v>1414335</v>
      </c>
      <c r="Q889" s="1" t="s">
        <v>55</v>
      </c>
      <c r="R889" s="1" t="s">
        <v>48</v>
      </c>
      <c r="S889" s="1" t="s">
        <v>36</v>
      </c>
      <c r="T889" s="1" t="s">
        <v>37</v>
      </c>
      <c r="U889">
        <v>4.5999999999999996</v>
      </c>
      <c r="V889" t="s">
        <v>56</v>
      </c>
      <c r="W889">
        <v>9</v>
      </c>
      <c r="X889" s="1" t="s">
        <v>103</v>
      </c>
    </row>
    <row r="890" spans="1:24" x14ac:dyDescent="0.55000000000000004">
      <c r="A890" s="1" t="s">
        <v>974</v>
      </c>
      <c r="B890" s="1" t="s">
        <v>62</v>
      </c>
      <c r="C890">
        <v>42</v>
      </c>
      <c r="D890" s="1" t="s">
        <v>42</v>
      </c>
      <c r="E890" s="1" t="s">
        <v>27</v>
      </c>
      <c r="F890" s="1" t="s">
        <v>28</v>
      </c>
      <c r="G890" s="1" t="s">
        <v>29</v>
      </c>
      <c r="H890" s="1" t="s">
        <v>30</v>
      </c>
      <c r="I890" s="1" t="s">
        <v>59</v>
      </c>
      <c r="J890" s="1" t="s">
        <v>54</v>
      </c>
      <c r="K890" s="1" t="s">
        <v>33</v>
      </c>
      <c r="L890" s="2">
        <v>45758</v>
      </c>
      <c r="M890" s="2">
        <v>45778</v>
      </c>
      <c r="N890">
        <v>1528106</v>
      </c>
      <c r="O890">
        <v>87290</v>
      </c>
      <c r="P890">
        <v>1440816</v>
      </c>
      <c r="Q890" s="1" t="s">
        <v>47</v>
      </c>
      <c r="R890" s="1" t="s">
        <v>48</v>
      </c>
      <c r="S890" s="1" t="s">
        <v>36</v>
      </c>
      <c r="T890" s="1" t="s">
        <v>36</v>
      </c>
      <c r="U890">
        <v>4.0999999999999996</v>
      </c>
      <c r="V890" t="s">
        <v>56</v>
      </c>
      <c r="W890">
        <v>5</v>
      </c>
      <c r="X890" s="1" t="s">
        <v>86</v>
      </c>
    </row>
    <row r="891" spans="1:24" x14ac:dyDescent="0.55000000000000004">
      <c r="A891" s="1" t="s">
        <v>975</v>
      </c>
      <c r="B891" s="1" t="s">
        <v>51</v>
      </c>
      <c r="C891">
        <v>27</v>
      </c>
      <c r="D891" s="1" t="s">
        <v>26</v>
      </c>
      <c r="E891" s="1" t="s">
        <v>84</v>
      </c>
      <c r="F891" s="1" t="s">
        <v>85</v>
      </c>
      <c r="G891" s="1" t="s">
        <v>29</v>
      </c>
      <c r="H891" s="1" t="s">
        <v>77</v>
      </c>
      <c r="I891" s="1" t="s">
        <v>74</v>
      </c>
      <c r="J891" s="1" t="s">
        <v>54</v>
      </c>
      <c r="K891" s="1" t="s">
        <v>46</v>
      </c>
      <c r="L891" s="2">
        <v>46115</v>
      </c>
      <c r="M891" s="2">
        <v>46136</v>
      </c>
      <c r="N891">
        <v>1592923</v>
      </c>
      <c r="O891">
        <v>24906</v>
      </c>
      <c r="P891">
        <v>1568017</v>
      </c>
      <c r="Q891" s="1" t="s">
        <v>47</v>
      </c>
      <c r="R891" s="1" t="s">
        <v>48</v>
      </c>
      <c r="S891" s="1" t="s">
        <v>37</v>
      </c>
      <c r="T891" s="1" t="s">
        <v>37</v>
      </c>
      <c r="U891">
        <v>3.2</v>
      </c>
      <c r="V891" t="s">
        <v>38</v>
      </c>
      <c r="W891">
        <v>4</v>
      </c>
      <c r="X891" s="1" t="s">
        <v>63</v>
      </c>
    </row>
    <row r="892" spans="1:24" x14ac:dyDescent="0.55000000000000004">
      <c r="A892" s="1" t="s">
        <v>976</v>
      </c>
      <c r="B892" s="1" t="s">
        <v>83</v>
      </c>
      <c r="C892">
        <v>55</v>
      </c>
      <c r="D892" s="1" t="s">
        <v>42</v>
      </c>
      <c r="E892" s="1" t="s">
        <v>27</v>
      </c>
      <c r="F892" s="1" t="s">
        <v>28</v>
      </c>
      <c r="G892" s="1" t="s">
        <v>29</v>
      </c>
      <c r="H892" s="1" t="s">
        <v>65</v>
      </c>
      <c r="I892" s="1" t="s">
        <v>31</v>
      </c>
      <c r="J892" s="1" t="s">
        <v>32</v>
      </c>
      <c r="K892" s="1" t="s">
        <v>46</v>
      </c>
      <c r="L892" s="2">
        <v>45816</v>
      </c>
      <c r="M892" s="2">
        <v>45859</v>
      </c>
      <c r="N892">
        <v>1855063</v>
      </c>
      <c r="O892">
        <v>30578</v>
      </c>
      <c r="P892">
        <v>1824485</v>
      </c>
      <c r="Q892" s="1" t="s">
        <v>55</v>
      </c>
      <c r="R892" s="1" t="s">
        <v>109</v>
      </c>
      <c r="S892" s="1" t="s">
        <v>37</v>
      </c>
      <c r="T892" s="1" t="s">
        <v>37</v>
      </c>
      <c r="U892">
        <v>4.8</v>
      </c>
      <c r="V892" t="s">
        <v>38</v>
      </c>
      <c r="W892">
        <v>7</v>
      </c>
      <c r="X892" s="1" t="s">
        <v>39</v>
      </c>
    </row>
    <row r="893" spans="1:24" x14ac:dyDescent="0.55000000000000004">
      <c r="A893" s="1" t="s">
        <v>977</v>
      </c>
      <c r="B893" s="1" t="s">
        <v>70</v>
      </c>
      <c r="C893">
        <v>60</v>
      </c>
      <c r="D893" s="1" t="s">
        <v>26</v>
      </c>
      <c r="E893" s="1" t="s">
        <v>84</v>
      </c>
      <c r="F893" s="1" t="s">
        <v>85</v>
      </c>
      <c r="G893" s="1" t="s">
        <v>29</v>
      </c>
      <c r="H893" s="1" t="s">
        <v>77</v>
      </c>
      <c r="I893" s="1" t="s">
        <v>59</v>
      </c>
      <c r="J893" s="1" t="s">
        <v>54</v>
      </c>
      <c r="K893" s="1" t="s">
        <v>46</v>
      </c>
      <c r="L893" s="2">
        <v>46049</v>
      </c>
      <c r="M893" s="2">
        <v>46068</v>
      </c>
      <c r="N893">
        <v>1384142</v>
      </c>
      <c r="O893">
        <v>21326</v>
      </c>
      <c r="P893">
        <v>1362816</v>
      </c>
      <c r="Q893" s="1" t="s">
        <v>66</v>
      </c>
      <c r="R893" s="1" t="s">
        <v>109</v>
      </c>
      <c r="S893" s="1" t="s">
        <v>37</v>
      </c>
      <c r="T893" s="1" t="s">
        <v>36</v>
      </c>
      <c r="U893">
        <v>4</v>
      </c>
      <c r="V893" t="s">
        <v>56</v>
      </c>
      <c r="W893">
        <v>2</v>
      </c>
      <c r="X893" s="1" t="s">
        <v>107</v>
      </c>
    </row>
    <row r="894" spans="1:24" x14ac:dyDescent="0.55000000000000004">
      <c r="A894" s="1" t="s">
        <v>978</v>
      </c>
      <c r="B894" s="1" t="s">
        <v>98</v>
      </c>
      <c r="C894">
        <v>21</v>
      </c>
      <c r="D894" s="1" t="s">
        <v>42</v>
      </c>
      <c r="E894" s="1" t="s">
        <v>71</v>
      </c>
      <c r="F894" s="1" t="s">
        <v>72</v>
      </c>
      <c r="G894" s="1" t="s">
        <v>29</v>
      </c>
      <c r="H894" s="1" t="s">
        <v>65</v>
      </c>
      <c r="I894" s="1" t="s">
        <v>31</v>
      </c>
      <c r="J894" s="1" t="s">
        <v>54</v>
      </c>
      <c r="K894" s="1" t="s">
        <v>33</v>
      </c>
      <c r="L894" s="2">
        <v>45782</v>
      </c>
      <c r="M894" s="2">
        <v>45810</v>
      </c>
      <c r="N894">
        <v>1834191</v>
      </c>
      <c r="O894">
        <v>49408</v>
      </c>
      <c r="P894">
        <v>1784783</v>
      </c>
      <c r="Q894" s="1" t="s">
        <v>55</v>
      </c>
      <c r="R894" s="1" t="s">
        <v>109</v>
      </c>
      <c r="S894" s="1" t="s">
        <v>36</v>
      </c>
      <c r="T894" s="1" t="s">
        <v>36</v>
      </c>
      <c r="U894">
        <v>3.5</v>
      </c>
      <c r="V894" t="s">
        <v>38</v>
      </c>
      <c r="W894">
        <v>6</v>
      </c>
      <c r="X894" s="1" t="s">
        <v>68</v>
      </c>
    </row>
    <row r="895" spans="1:24" x14ac:dyDescent="0.55000000000000004">
      <c r="A895" s="1" t="s">
        <v>979</v>
      </c>
      <c r="B895" s="1" t="s">
        <v>81</v>
      </c>
      <c r="C895">
        <v>34</v>
      </c>
      <c r="D895" s="1" t="s">
        <v>42</v>
      </c>
      <c r="E895" s="1" t="s">
        <v>71</v>
      </c>
      <c r="F895" s="1" t="s">
        <v>72</v>
      </c>
      <c r="G895" s="1" t="s">
        <v>29</v>
      </c>
      <c r="H895" s="1" t="s">
        <v>77</v>
      </c>
      <c r="I895" s="1" t="s">
        <v>74</v>
      </c>
      <c r="J895" s="1" t="s">
        <v>32</v>
      </c>
      <c r="K895" s="1" t="s">
        <v>46</v>
      </c>
      <c r="L895" s="2">
        <v>45909</v>
      </c>
      <c r="M895" s="2">
        <v>45932</v>
      </c>
      <c r="N895">
        <v>1501131</v>
      </c>
      <c r="O895">
        <v>15749</v>
      </c>
      <c r="P895">
        <v>1485382</v>
      </c>
      <c r="Q895" s="1" t="s">
        <v>66</v>
      </c>
      <c r="R895" s="1" t="s">
        <v>48</v>
      </c>
      <c r="S895" s="1" t="s">
        <v>36</v>
      </c>
      <c r="T895" s="1" t="s">
        <v>37</v>
      </c>
      <c r="U895">
        <v>3.4</v>
      </c>
      <c r="V895" t="s">
        <v>38</v>
      </c>
      <c r="W895">
        <v>10</v>
      </c>
      <c r="X895" s="1" t="s">
        <v>75</v>
      </c>
    </row>
    <row r="896" spans="1:24" x14ac:dyDescent="0.55000000000000004">
      <c r="A896" s="1" t="s">
        <v>980</v>
      </c>
      <c r="B896" s="1" t="s">
        <v>93</v>
      </c>
      <c r="C896">
        <v>37</v>
      </c>
      <c r="D896" s="1" t="s">
        <v>42</v>
      </c>
      <c r="E896" s="1" t="s">
        <v>71</v>
      </c>
      <c r="F896" s="1" t="s">
        <v>72</v>
      </c>
      <c r="G896" s="1" t="s">
        <v>29</v>
      </c>
      <c r="H896" s="1" t="s">
        <v>30</v>
      </c>
      <c r="I896" s="1" t="s">
        <v>31</v>
      </c>
      <c r="J896" s="1" t="s">
        <v>32</v>
      </c>
      <c r="K896" s="1" t="s">
        <v>46</v>
      </c>
      <c r="L896" s="2">
        <v>46099</v>
      </c>
      <c r="M896" s="2">
        <v>46126</v>
      </c>
      <c r="N896">
        <v>1332308</v>
      </c>
      <c r="O896">
        <v>17865</v>
      </c>
      <c r="P896">
        <v>1314443</v>
      </c>
      <c r="Q896" s="1" t="s">
        <v>34</v>
      </c>
      <c r="R896" s="1" t="s">
        <v>48</v>
      </c>
      <c r="S896" s="1" t="s">
        <v>37</v>
      </c>
      <c r="T896" s="1" t="s">
        <v>36</v>
      </c>
      <c r="U896">
        <v>3.1</v>
      </c>
      <c r="V896" t="s">
        <v>38</v>
      </c>
      <c r="W896">
        <v>4</v>
      </c>
      <c r="X896" s="1" t="s">
        <v>63</v>
      </c>
    </row>
    <row r="897" spans="1:24" x14ac:dyDescent="0.55000000000000004">
      <c r="A897" s="1" t="s">
        <v>981</v>
      </c>
      <c r="B897" s="1" t="s">
        <v>51</v>
      </c>
      <c r="C897">
        <v>38</v>
      </c>
      <c r="D897" s="1" t="s">
        <v>26</v>
      </c>
      <c r="E897" s="1" t="s">
        <v>84</v>
      </c>
      <c r="F897" s="1" t="s">
        <v>85</v>
      </c>
      <c r="G897" s="1" t="s">
        <v>29</v>
      </c>
      <c r="H897" s="1" t="s">
        <v>30</v>
      </c>
      <c r="I897" s="1" t="s">
        <v>45</v>
      </c>
      <c r="J897" s="1" t="s">
        <v>54</v>
      </c>
      <c r="K897" s="1" t="s">
        <v>46</v>
      </c>
      <c r="L897" s="2">
        <v>46002</v>
      </c>
      <c r="M897" s="2">
        <v>46025</v>
      </c>
      <c r="N897">
        <v>1825977</v>
      </c>
      <c r="O897">
        <v>33314</v>
      </c>
      <c r="P897">
        <v>1792663</v>
      </c>
      <c r="Q897" s="1" t="s">
        <v>78</v>
      </c>
      <c r="R897" s="1" t="s">
        <v>35</v>
      </c>
      <c r="S897" s="1" t="s">
        <v>36</v>
      </c>
      <c r="T897" s="1" t="s">
        <v>36</v>
      </c>
      <c r="U897">
        <v>4</v>
      </c>
      <c r="V897" t="s">
        <v>38</v>
      </c>
      <c r="W897">
        <v>1</v>
      </c>
      <c r="X897" s="1" t="s">
        <v>88</v>
      </c>
    </row>
    <row r="898" spans="1:24" x14ac:dyDescent="0.55000000000000004">
      <c r="A898" s="1" t="s">
        <v>982</v>
      </c>
      <c r="B898" s="1" t="s">
        <v>25</v>
      </c>
      <c r="C898">
        <v>43</v>
      </c>
      <c r="D898" s="1" t="s">
        <v>26</v>
      </c>
      <c r="E898" s="1" t="s">
        <v>52</v>
      </c>
      <c r="F898" s="1" t="s">
        <v>44</v>
      </c>
      <c r="G898" s="1" t="s">
        <v>29</v>
      </c>
      <c r="H898" s="1" t="s">
        <v>30</v>
      </c>
      <c r="I898" s="1" t="s">
        <v>31</v>
      </c>
      <c r="J898" s="1" t="s">
        <v>32</v>
      </c>
      <c r="K898" s="1" t="s">
        <v>46</v>
      </c>
      <c r="L898" s="2">
        <v>46164</v>
      </c>
      <c r="M898" s="2">
        <v>46171</v>
      </c>
      <c r="N898">
        <v>1403195</v>
      </c>
      <c r="O898">
        <v>26593</v>
      </c>
      <c r="P898">
        <v>1376602</v>
      </c>
      <c r="Q898" s="1" t="s">
        <v>66</v>
      </c>
      <c r="R898" s="1" t="s">
        <v>109</v>
      </c>
      <c r="S898" s="1" t="s">
        <v>36</v>
      </c>
      <c r="T898" s="1" t="s">
        <v>36</v>
      </c>
      <c r="U898">
        <v>4.3</v>
      </c>
      <c r="V898" t="s">
        <v>91</v>
      </c>
      <c r="W898">
        <v>5</v>
      </c>
      <c r="X898" s="1" t="s">
        <v>86</v>
      </c>
    </row>
    <row r="899" spans="1:24" x14ac:dyDescent="0.55000000000000004">
      <c r="A899" s="1" t="s">
        <v>983</v>
      </c>
      <c r="B899" s="1" t="s">
        <v>98</v>
      </c>
      <c r="C899">
        <v>42</v>
      </c>
      <c r="D899" s="1" t="s">
        <v>42</v>
      </c>
      <c r="E899" s="1" t="s">
        <v>90</v>
      </c>
      <c r="F899" s="1" t="s">
        <v>44</v>
      </c>
      <c r="G899" s="1" t="s">
        <v>29</v>
      </c>
      <c r="H899" s="1" t="s">
        <v>65</v>
      </c>
      <c r="I899" s="1" t="s">
        <v>31</v>
      </c>
      <c r="J899" s="1" t="s">
        <v>54</v>
      </c>
      <c r="K899" s="1" t="s">
        <v>46</v>
      </c>
      <c r="L899" s="2">
        <v>45887</v>
      </c>
      <c r="M899" s="2">
        <v>45895</v>
      </c>
      <c r="N899">
        <v>1564566</v>
      </c>
      <c r="O899">
        <v>28400</v>
      </c>
      <c r="P899">
        <v>1536166</v>
      </c>
      <c r="Q899" s="1" t="s">
        <v>47</v>
      </c>
      <c r="R899" s="1" t="s">
        <v>79</v>
      </c>
      <c r="S899" s="1" t="s">
        <v>37</v>
      </c>
      <c r="T899" s="1" t="s">
        <v>37</v>
      </c>
      <c r="U899">
        <v>4.5</v>
      </c>
      <c r="V899" t="s">
        <v>91</v>
      </c>
      <c r="W899">
        <v>8</v>
      </c>
      <c r="X899" s="1" t="s">
        <v>57</v>
      </c>
    </row>
    <row r="900" spans="1:24" x14ac:dyDescent="0.55000000000000004">
      <c r="A900" s="1" t="s">
        <v>984</v>
      </c>
      <c r="B900" s="1" t="s">
        <v>51</v>
      </c>
      <c r="C900">
        <v>45</v>
      </c>
      <c r="D900" s="1" t="s">
        <v>42</v>
      </c>
      <c r="E900" s="1" t="s">
        <v>71</v>
      </c>
      <c r="F900" s="1" t="s">
        <v>72</v>
      </c>
      <c r="G900" s="1" t="s">
        <v>29</v>
      </c>
      <c r="H900" s="1" t="s">
        <v>30</v>
      </c>
      <c r="I900" s="1" t="s">
        <v>74</v>
      </c>
      <c r="J900" s="1" t="s">
        <v>32</v>
      </c>
      <c r="K900" s="1" t="s">
        <v>46</v>
      </c>
      <c r="L900" s="2">
        <v>45799</v>
      </c>
      <c r="M900" s="2">
        <v>45823</v>
      </c>
      <c r="N900">
        <v>1334084</v>
      </c>
      <c r="O900">
        <v>27133</v>
      </c>
      <c r="P900">
        <v>1306951</v>
      </c>
      <c r="Q900" s="1" t="s">
        <v>47</v>
      </c>
      <c r="R900" s="1" t="s">
        <v>35</v>
      </c>
      <c r="S900" s="1" t="s">
        <v>36</v>
      </c>
      <c r="T900" s="1" t="s">
        <v>36</v>
      </c>
      <c r="U900">
        <v>4.9000000000000004</v>
      </c>
      <c r="V900" t="s">
        <v>38</v>
      </c>
      <c r="W900">
        <v>6</v>
      </c>
      <c r="X900" s="1" t="s">
        <v>68</v>
      </c>
    </row>
    <row r="901" spans="1:24" x14ac:dyDescent="0.55000000000000004">
      <c r="A901" s="1" t="s">
        <v>985</v>
      </c>
      <c r="B901" s="1" t="s">
        <v>70</v>
      </c>
      <c r="C901">
        <v>26</v>
      </c>
      <c r="D901" s="1" t="s">
        <v>42</v>
      </c>
      <c r="E901" s="1" t="s">
        <v>84</v>
      </c>
      <c r="F901" s="1" t="s">
        <v>85</v>
      </c>
      <c r="G901" s="1" t="s">
        <v>29</v>
      </c>
      <c r="H901" s="1" t="s">
        <v>65</v>
      </c>
      <c r="I901" s="1" t="s">
        <v>53</v>
      </c>
      <c r="J901" s="1" t="s">
        <v>32</v>
      </c>
      <c r="K901" s="1" t="s">
        <v>33</v>
      </c>
      <c r="L901" s="2">
        <v>45774</v>
      </c>
      <c r="M901" s="2">
        <v>45785</v>
      </c>
      <c r="N901">
        <v>1887395</v>
      </c>
      <c r="O901">
        <v>91557</v>
      </c>
      <c r="P901">
        <v>1795838</v>
      </c>
      <c r="Q901" s="1" t="s">
        <v>34</v>
      </c>
      <c r="R901" s="1" t="s">
        <v>79</v>
      </c>
      <c r="S901" s="1" t="s">
        <v>37</v>
      </c>
      <c r="T901" s="1" t="s">
        <v>36</v>
      </c>
      <c r="U901">
        <v>3.3</v>
      </c>
      <c r="V901" t="s">
        <v>56</v>
      </c>
      <c r="W901">
        <v>5</v>
      </c>
      <c r="X901" s="1" t="s">
        <v>86</v>
      </c>
    </row>
    <row r="902" spans="1:24" x14ac:dyDescent="0.55000000000000004">
      <c r="A902" s="1" t="s">
        <v>986</v>
      </c>
      <c r="B902" s="1" t="s">
        <v>62</v>
      </c>
      <c r="C902">
        <v>60</v>
      </c>
      <c r="D902" s="1" t="s">
        <v>42</v>
      </c>
      <c r="E902" s="1" t="s">
        <v>27</v>
      </c>
      <c r="F902" s="1" t="s">
        <v>28</v>
      </c>
      <c r="G902" s="1" t="s">
        <v>29</v>
      </c>
      <c r="H902" s="1" t="s">
        <v>30</v>
      </c>
      <c r="I902" s="1" t="s">
        <v>45</v>
      </c>
      <c r="J902" s="1" t="s">
        <v>32</v>
      </c>
      <c r="K902" s="1" t="s">
        <v>33</v>
      </c>
      <c r="L902" s="2">
        <v>45858</v>
      </c>
      <c r="M902" s="2">
        <v>45872</v>
      </c>
      <c r="N902">
        <v>1462235</v>
      </c>
      <c r="O902">
        <v>85263</v>
      </c>
      <c r="P902">
        <v>1376972</v>
      </c>
      <c r="Q902" s="1" t="s">
        <v>55</v>
      </c>
      <c r="R902" s="1" t="s">
        <v>109</v>
      </c>
      <c r="S902" s="1" t="s">
        <v>36</v>
      </c>
      <c r="T902" s="1" t="s">
        <v>37</v>
      </c>
      <c r="U902">
        <v>4.2</v>
      </c>
      <c r="V902" t="s">
        <v>56</v>
      </c>
      <c r="W902">
        <v>8</v>
      </c>
      <c r="X902" s="1" t="s">
        <v>57</v>
      </c>
    </row>
    <row r="903" spans="1:24" x14ac:dyDescent="0.55000000000000004">
      <c r="A903" s="1" t="s">
        <v>987</v>
      </c>
      <c r="B903" s="1" t="s">
        <v>25</v>
      </c>
      <c r="C903">
        <v>56</v>
      </c>
      <c r="D903" s="1" t="s">
        <v>26</v>
      </c>
      <c r="E903" s="1" t="s">
        <v>90</v>
      </c>
      <c r="F903" s="1" t="s">
        <v>44</v>
      </c>
      <c r="G903" s="1" t="s">
        <v>29</v>
      </c>
      <c r="H903" s="1" t="s">
        <v>65</v>
      </c>
      <c r="I903" s="1" t="s">
        <v>53</v>
      </c>
      <c r="J903" s="1" t="s">
        <v>54</v>
      </c>
      <c r="K903" s="1" t="s">
        <v>46</v>
      </c>
      <c r="L903" s="2">
        <v>46178</v>
      </c>
      <c r="M903" s="2">
        <v>46200</v>
      </c>
      <c r="N903">
        <v>1364237</v>
      </c>
      <c r="O903">
        <v>50429</v>
      </c>
      <c r="P903">
        <v>1313808</v>
      </c>
      <c r="Q903" s="1" t="s">
        <v>55</v>
      </c>
      <c r="R903" s="1" t="s">
        <v>35</v>
      </c>
      <c r="S903" s="1" t="s">
        <v>36</v>
      </c>
      <c r="T903" s="1" t="s">
        <v>36</v>
      </c>
      <c r="U903">
        <v>4.5</v>
      </c>
      <c r="V903" t="s">
        <v>38</v>
      </c>
      <c r="W903">
        <v>6</v>
      </c>
      <c r="X903" s="1" t="s">
        <v>68</v>
      </c>
    </row>
    <row r="904" spans="1:24" x14ac:dyDescent="0.55000000000000004">
      <c r="A904" s="1" t="s">
        <v>988</v>
      </c>
      <c r="B904" s="1" t="s">
        <v>93</v>
      </c>
      <c r="C904">
        <v>51</v>
      </c>
      <c r="D904" s="1" t="s">
        <v>26</v>
      </c>
      <c r="E904" s="1" t="s">
        <v>84</v>
      </c>
      <c r="F904" s="1" t="s">
        <v>85</v>
      </c>
      <c r="G904" s="1" t="s">
        <v>29</v>
      </c>
      <c r="H904" s="1" t="s">
        <v>30</v>
      </c>
      <c r="I904" s="1" t="s">
        <v>53</v>
      </c>
      <c r="J904" s="1" t="s">
        <v>32</v>
      </c>
      <c r="K904" s="1" t="s">
        <v>33</v>
      </c>
      <c r="L904" s="2">
        <v>46163</v>
      </c>
      <c r="M904" s="2">
        <v>46207</v>
      </c>
      <c r="N904">
        <v>1317419</v>
      </c>
      <c r="O904">
        <v>60473</v>
      </c>
      <c r="P904">
        <v>1256946</v>
      </c>
      <c r="Q904" s="1" t="s">
        <v>34</v>
      </c>
      <c r="R904" s="1" t="s">
        <v>48</v>
      </c>
      <c r="S904" s="1" t="s">
        <v>37</v>
      </c>
      <c r="T904" s="1" t="s">
        <v>36</v>
      </c>
      <c r="U904">
        <v>3.1</v>
      </c>
      <c r="V904" t="s">
        <v>38</v>
      </c>
      <c r="W904">
        <v>7</v>
      </c>
      <c r="X904" s="1" t="s">
        <v>39</v>
      </c>
    </row>
    <row r="905" spans="1:24" x14ac:dyDescent="0.55000000000000004">
      <c r="A905" s="1" t="s">
        <v>989</v>
      </c>
      <c r="B905" s="1" t="s">
        <v>81</v>
      </c>
      <c r="C905">
        <v>23</v>
      </c>
      <c r="D905" s="1" t="s">
        <v>42</v>
      </c>
      <c r="E905" s="1" t="s">
        <v>27</v>
      </c>
      <c r="F905" s="1" t="s">
        <v>28</v>
      </c>
      <c r="G905" s="1" t="s">
        <v>29</v>
      </c>
      <c r="H905" s="1" t="s">
        <v>30</v>
      </c>
      <c r="I905" s="1" t="s">
        <v>59</v>
      </c>
      <c r="J905" s="1" t="s">
        <v>54</v>
      </c>
      <c r="K905" s="1" t="s">
        <v>33</v>
      </c>
      <c r="L905" s="2">
        <v>46064</v>
      </c>
      <c r="M905" s="2">
        <v>46094</v>
      </c>
      <c r="N905">
        <v>1685192</v>
      </c>
      <c r="O905">
        <v>72204</v>
      </c>
      <c r="P905">
        <v>1612988</v>
      </c>
      <c r="Q905" s="1" t="s">
        <v>47</v>
      </c>
      <c r="R905" s="1" t="s">
        <v>109</v>
      </c>
      <c r="S905" s="1" t="s">
        <v>37</v>
      </c>
      <c r="T905" s="1" t="s">
        <v>37</v>
      </c>
      <c r="U905">
        <v>3.2</v>
      </c>
      <c r="V905" t="s">
        <v>38</v>
      </c>
      <c r="W905">
        <v>3</v>
      </c>
      <c r="X905" s="1" t="s">
        <v>96</v>
      </c>
    </row>
    <row r="906" spans="1:24" x14ac:dyDescent="0.55000000000000004">
      <c r="A906" s="1" t="s">
        <v>990</v>
      </c>
      <c r="B906" s="1" t="s">
        <v>83</v>
      </c>
      <c r="C906">
        <v>44</v>
      </c>
      <c r="D906" s="1" t="s">
        <v>26</v>
      </c>
      <c r="E906" s="1" t="s">
        <v>43</v>
      </c>
      <c r="F906" s="1" t="s">
        <v>44</v>
      </c>
      <c r="G906" s="1" t="s">
        <v>29</v>
      </c>
      <c r="H906" s="1" t="s">
        <v>30</v>
      </c>
      <c r="I906" s="1" t="s">
        <v>59</v>
      </c>
      <c r="J906" s="1" t="s">
        <v>32</v>
      </c>
      <c r="K906" s="1" t="s">
        <v>33</v>
      </c>
      <c r="L906" s="2">
        <v>45995</v>
      </c>
      <c r="M906" s="2">
        <v>46007</v>
      </c>
      <c r="N906">
        <v>1607369</v>
      </c>
      <c r="O906">
        <v>20590</v>
      </c>
      <c r="P906">
        <v>1586779</v>
      </c>
      <c r="Q906" s="1" t="s">
        <v>66</v>
      </c>
      <c r="R906" s="1" t="s">
        <v>67</v>
      </c>
      <c r="S906" s="1" t="s">
        <v>36</v>
      </c>
      <c r="T906" s="1" t="s">
        <v>37</v>
      </c>
      <c r="U906">
        <v>4.3</v>
      </c>
      <c r="V906" t="s">
        <v>56</v>
      </c>
      <c r="W906">
        <v>12</v>
      </c>
      <c r="X906" s="1" t="s">
        <v>49</v>
      </c>
    </row>
    <row r="907" spans="1:24" x14ac:dyDescent="0.55000000000000004">
      <c r="A907" s="1" t="s">
        <v>991</v>
      </c>
      <c r="B907" s="1" t="s">
        <v>41</v>
      </c>
      <c r="C907">
        <v>25</v>
      </c>
      <c r="D907" s="1" t="s">
        <v>26</v>
      </c>
      <c r="E907" s="1" t="s">
        <v>43</v>
      </c>
      <c r="F907" s="1" t="s">
        <v>44</v>
      </c>
      <c r="G907" s="1" t="s">
        <v>29</v>
      </c>
      <c r="H907" s="1" t="s">
        <v>30</v>
      </c>
      <c r="I907" s="1" t="s">
        <v>59</v>
      </c>
      <c r="J907" s="1" t="s">
        <v>32</v>
      </c>
      <c r="K907" s="1" t="s">
        <v>33</v>
      </c>
      <c r="L907" s="2">
        <v>46111</v>
      </c>
      <c r="M907" s="2">
        <v>46128</v>
      </c>
      <c r="N907">
        <v>1891713</v>
      </c>
      <c r="O907">
        <v>67701</v>
      </c>
      <c r="P907">
        <v>1824012</v>
      </c>
      <c r="Q907" s="1" t="s">
        <v>78</v>
      </c>
      <c r="R907" s="1" t="s">
        <v>35</v>
      </c>
      <c r="S907" s="1" t="s">
        <v>37</v>
      </c>
      <c r="T907" s="1" t="s">
        <v>37</v>
      </c>
      <c r="U907">
        <v>3.5</v>
      </c>
      <c r="V907" t="s">
        <v>56</v>
      </c>
      <c r="W907">
        <v>4</v>
      </c>
      <c r="X907" s="1" t="s">
        <v>63</v>
      </c>
    </row>
    <row r="908" spans="1:24" x14ac:dyDescent="0.55000000000000004">
      <c r="A908" s="1" t="s">
        <v>992</v>
      </c>
      <c r="B908" s="1" t="s">
        <v>51</v>
      </c>
      <c r="C908">
        <v>58</v>
      </c>
      <c r="D908" s="1" t="s">
        <v>42</v>
      </c>
      <c r="E908" s="1" t="s">
        <v>90</v>
      </c>
      <c r="F908" s="1" t="s">
        <v>44</v>
      </c>
      <c r="G908" s="1" t="s">
        <v>29</v>
      </c>
      <c r="H908" s="1" t="s">
        <v>30</v>
      </c>
      <c r="I908" s="1" t="s">
        <v>59</v>
      </c>
      <c r="J908" s="1" t="s">
        <v>54</v>
      </c>
      <c r="K908" s="1" t="s">
        <v>33</v>
      </c>
      <c r="L908" s="2">
        <v>45968</v>
      </c>
      <c r="M908" s="2">
        <v>45978</v>
      </c>
      <c r="N908">
        <v>1664437</v>
      </c>
      <c r="O908">
        <v>69444</v>
      </c>
      <c r="P908">
        <v>1594993</v>
      </c>
      <c r="Q908" s="1" t="s">
        <v>66</v>
      </c>
      <c r="R908" s="1" t="s">
        <v>35</v>
      </c>
      <c r="S908" s="1" t="s">
        <v>37</v>
      </c>
      <c r="T908" s="1" t="s">
        <v>36</v>
      </c>
      <c r="U908">
        <v>3.8</v>
      </c>
      <c r="V908" t="s">
        <v>91</v>
      </c>
      <c r="W908">
        <v>11</v>
      </c>
      <c r="X908" s="1" t="s">
        <v>60</v>
      </c>
    </row>
    <row r="909" spans="1:24" x14ac:dyDescent="0.55000000000000004">
      <c r="A909" s="1" t="s">
        <v>993</v>
      </c>
      <c r="B909" s="1" t="s">
        <v>98</v>
      </c>
      <c r="C909">
        <v>34</v>
      </c>
      <c r="D909" s="1" t="s">
        <v>42</v>
      </c>
      <c r="E909" s="1" t="s">
        <v>27</v>
      </c>
      <c r="F909" s="1" t="s">
        <v>28</v>
      </c>
      <c r="G909" s="1" t="s">
        <v>29</v>
      </c>
      <c r="H909" s="1" t="s">
        <v>30</v>
      </c>
      <c r="I909" s="1" t="s">
        <v>74</v>
      </c>
      <c r="J909" s="1" t="s">
        <v>32</v>
      </c>
      <c r="K909" s="1" t="s">
        <v>33</v>
      </c>
      <c r="L909" s="2">
        <v>45911</v>
      </c>
      <c r="M909" s="2">
        <v>45936</v>
      </c>
      <c r="N909">
        <v>1399616</v>
      </c>
      <c r="O909">
        <v>99610</v>
      </c>
      <c r="P909">
        <v>1300006</v>
      </c>
      <c r="Q909" s="1" t="s">
        <v>78</v>
      </c>
      <c r="R909" s="1" t="s">
        <v>48</v>
      </c>
      <c r="S909" s="1" t="s">
        <v>37</v>
      </c>
      <c r="T909" s="1" t="s">
        <v>36</v>
      </c>
      <c r="U909">
        <v>3.3</v>
      </c>
      <c r="V909" t="s">
        <v>38</v>
      </c>
      <c r="W909">
        <v>10</v>
      </c>
      <c r="X909" s="1" t="s">
        <v>75</v>
      </c>
    </row>
    <row r="910" spans="1:24" x14ac:dyDescent="0.55000000000000004">
      <c r="A910" s="1" t="s">
        <v>994</v>
      </c>
      <c r="B910" s="1" t="s">
        <v>51</v>
      </c>
      <c r="C910">
        <v>21</v>
      </c>
      <c r="D910" s="1" t="s">
        <v>42</v>
      </c>
      <c r="E910" s="1" t="s">
        <v>27</v>
      </c>
      <c r="F910" s="1" t="s">
        <v>28</v>
      </c>
      <c r="G910" s="1" t="s">
        <v>29</v>
      </c>
      <c r="H910" s="1" t="s">
        <v>30</v>
      </c>
      <c r="I910" s="1" t="s">
        <v>59</v>
      </c>
      <c r="J910" s="1" t="s">
        <v>32</v>
      </c>
      <c r="K910" s="1" t="s">
        <v>46</v>
      </c>
      <c r="L910" s="2">
        <v>45719</v>
      </c>
      <c r="M910" s="2">
        <v>45759</v>
      </c>
      <c r="N910">
        <v>1388360</v>
      </c>
      <c r="O910">
        <v>87812</v>
      </c>
      <c r="P910">
        <v>1300548</v>
      </c>
      <c r="Q910" s="1" t="s">
        <v>66</v>
      </c>
      <c r="R910" s="1" t="s">
        <v>109</v>
      </c>
      <c r="S910" s="1" t="s">
        <v>36</v>
      </c>
      <c r="T910" s="1" t="s">
        <v>36</v>
      </c>
      <c r="U910">
        <v>4.4000000000000004</v>
      </c>
      <c r="V910" t="s">
        <v>38</v>
      </c>
      <c r="W910">
        <v>4</v>
      </c>
      <c r="X910" s="1" t="s">
        <v>63</v>
      </c>
    </row>
    <row r="911" spans="1:24" x14ac:dyDescent="0.55000000000000004">
      <c r="A911" s="1" t="s">
        <v>995</v>
      </c>
      <c r="B911" s="1" t="s">
        <v>51</v>
      </c>
      <c r="C911">
        <v>39</v>
      </c>
      <c r="D911" s="1" t="s">
        <v>42</v>
      </c>
      <c r="E911" s="1" t="s">
        <v>27</v>
      </c>
      <c r="F911" s="1" t="s">
        <v>28</v>
      </c>
      <c r="G911" s="1" t="s">
        <v>29</v>
      </c>
      <c r="H911" s="1" t="s">
        <v>30</v>
      </c>
      <c r="I911" s="1" t="s">
        <v>53</v>
      </c>
      <c r="J911" s="1" t="s">
        <v>54</v>
      </c>
      <c r="K911" s="1" t="s">
        <v>33</v>
      </c>
      <c r="L911" s="2">
        <v>45867</v>
      </c>
      <c r="M911" s="2">
        <v>45911</v>
      </c>
      <c r="N911">
        <v>1494881</v>
      </c>
      <c r="O911">
        <v>96047</v>
      </c>
      <c r="P911">
        <v>1398834</v>
      </c>
      <c r="Q911" s="1" t="s">
        <v>47</v>
      </c>
      <c r="R911" s="1" t="s">
        <v>79</v>
      </c>
      <c r="S911" s="1" t="s">
        <v>37</v>
      </c>
      <c r="T911" s="1" t="s">
        <v>36</v>
      </c>
      <c r="U911">
        <v>4.5</v>
      </c>
      <c r="V911" t="s">
        <v>38</v>
      </c>
      <c r="W911">
        <v>9</v>
      </c>
      <c r="X911" s="1" t="s">
        <v>103</v>
      </c>
    </row>
    <row r="912" spans="1:24" x14ac:dyDescent="0.55000000000000004">
      <c r="A912" s="1" t="s">
        <v>996</v>
      </c>
      <c r="B912" s="1" t="s">
        <v>83</v>
      </c>
      <c r="C912">
        <v>42</v>
      </c>
      <c r="D912" s="1" t="s">
        <v>42</v>
      </c>
      <c r="E912" s="1" t="s">
        <v>84</v>
      </c>
      <c r="F912" s="1" t="s">
        <v>85</v>
      </c>
      <c r="G912" s="1" t="s">
        <v>29</v>
      </c>
      <c r="H912" s="1" t="s">
        <v>30</v>
      </c>
      <c r="I912" s="1" t="s">
        <v>53</v>
      </c>
      <c r="J912" s="1" t="s">
        <v>54</v>
      </c>
      <c r="K912" s="1" t="s">
        <v>46</v>
      </c>
      <c r="L912" s="2">
        <v>45677</v>
      </c>
      <c r="M912" s="2">
        <v>45707</v>
      </c>
      <c r="N912">
        <v>1313910</v>
      </c>
      <c r="O912">
        <v>38110</v>
      </c>
      <c r="P912">
        <v>1275800</v>
      </c>
      <c r="Q912" s="1" t="s">
        <v>78</v>
      </c>
      <c r="R912" s="1" t="s">
        <v>67</v>
      </c>
      <c r="S912" s="1" t="s">
        <v>36</v>
      </c>
      <c r="T912" s="1" t="s">
        <v>37</v>
      </c>
      <c r="U912">
        <v>3.5</v>
      </c>
      <c r="V912" t="s">
        <v>38</v>
      </c>
      <c r="W912">
        <v>2</v>
      </c>
      <c r="X912" s="1" t="s">
        <v>107</v>
      </c>
    </row>
    <row r="913" spans="1:24" x14ac:dyDescent="0.55000000000000004">
      <c r="A913" s="1" t="s">
        <v>997</v>
      </c>
      <c r="B913" s="1" t="s">
        <v>98</v>
      </c>
      <c r="C913">
        <v>43</v>
      </c>
      <c r="D913" s="1" t="s">
        <v>26</v>
      </c>
      <c r="E913" s="1" t="s">
        <v>84</v>
      </c>
      <c r="F913" s="1" t="s">
        <v>85</v>
      </c>
      <c r="G913" s="1" t="s">
        <v>29</v>
      </c>
      <c r="H913" s="1" t="s">
        <v>65</v>
      </c>
      <c r="I913" s="1" t="s">
        <v>53</v>
      </c>
      <c r="J913" s="1" t="s">
        <v>54</v>
      </c>
      <c r="K913" s="1" t="s">
        <v>33</v>
      </c>
      <c r="L913" s="2">
        <v>46148</v>
      </c>
      <c r="M913" s="2">
        <v>46179</v>
      </c>
      <c r="N913">
        <v>1371251</v>
      </c>
      <c r="O913">
        <v>66254</v>
      </c>
      <c r="P913">
        <v>1304997</v>
      </c>
      <c r="Q913" s="1" t="s">
        <v>55</v>
      </c>
      <c r="R913" s="1" t="s">
        <v>67</v>
      </c>
      <c r="S913" s="1" t="s">
        <v>36</v>
      </c>
      <c r="T913" s="1" t="s">
        <v>37</v>
      </c>
      <c r="U913">
        <v>4.5999999999999996</v>
      </c>
      <c r="V913" t="s">
        <v>38</v>
      </c>
      <c r="W913">
        <v>6</v>
      </c>
      <c r="X913" s="1" t="s">
        <v>68</v>
      </c>
    </row>
    <row r="914" spans="1:24" x14ac:dyDescent="0.55000000000000004">
      <c r="A914" s="1" t="s">
        <v>998</v>
      </c>
      <c r="B914" s="1" t="s">
        <v>62</v>
      </c>
      <c r="C914">
        <v>31</v>
      </c>
      <c r="D914" s="1" t="s">
        <v>42</v>
      </c>
      <c r="E914" s="1" t="s">
        <v>27</v>
      </c>
      <c r="F914" s="1" t="s">
        <v>28</v>
      </c>
      <c r="G914" s="1" t="s">
        <v>29</v>
      </c>
      <c r="H914" s="1" t="s">
        <v>30</v>
      </c>
      <c r="I914" s="1" t="s">
        <v>45</v>
      </c>
      <c r="J914" s="1" t="s">
        <v>32</v>
      </c>
      <c r="K914" s="1" t="s">
        <v>33</v>
      </c>
      <c r="L914" s="2">
        <v>45700</v>
      </c>
      <c r="M914" s="2">
        <v>45717</v>
      </c>
      <c r="N914">
        <v>1798253</v>
      </c>
      <c r="O914">
        <v>35428</v>
      </c>
      <c r="P914">
        <v>1762825</v>
      </c>
      <c r="Q914" s="1" t="s">
        <v>66</v>
      </c>
      <c r="R914" s="1" t="s">
        <v>109</v>
      </c>
      <c r="S914" s="1" t="s">
        <v>37</v>
      </c>
      <c r="T914" s="1" t="s">
        <v>36</v>
      </c>
      <c r="U914">
        <v>4.5</v>
      </c>
      <c r="V914" t="s">
        <v>56</v>
      </c>
      <c r="W914">
        <v>3</v>
      </c>
      <c r="X914" s="1" t="s">
        <v>96</v>
      </c>
    </row>
    <row r="915" spans="1:24" x14ac:dyDescent="0.55000000000000004">
      <c r="A915" s="1" t="s">
        <v>999</v>
      </c>
      <c r="B915" s="1" t="s">
        <v>81</v>
      </c>
      <c r="C915">
        <v>60</v>
      </c>
      <c r="D915" s="1" t="s">
        <v>26</v>
      </c>
      <c r="E915" s="1" t="s">
        <v>84</v>
      </c>
      <c r="F915" s="1" t="s">
        <v>85</v>
      </c>
      <c r="G915" s="1" t="s">
        <v>29</v>
      </c>
      <c r="H915" s="1" t="s">
        <v>30</v>
      </c>
      <c r="I915" s="1" t="s">
        <v>59</v>
      </c>
      <c r="J915" s="1" t="s">
        <v>54</v>
      </c>
      <c r="K915" s="1" t="s">
        <v>33</v>
      </c>
      <c r="L915" s="2">
        <v>45858</v>
      </c>
      <c r="M915" s="2">
        <v>45869</v>
      </c>
      <c r="N915">
        <v>1628789</v>
      </c>
      <c r="O915">
        <v>66283</v>
      </c>
      <c r="P915">
        <v>1562506</v>
      </c>
      <c r="Q915" s="1" t="s">
        <v>47</v>
      </c>
      <c r="R915" s="1" t="s">
        <v>48</v>
      </c>
      <c r="S915" s="1" t="s">
        <v>37</v>
      </c>
      <c r="T915" s="1" t="s">
        <v>36</v>
      </c>
      <c r="U915">
        <v>3.8</v>
      </c>
      <c r="V915" t="s">
        <v>56</v>
      </c>
      <c r="W915">
        <v>7</v>
      </c>
      <c r="X915" s="1" t="s">
        <v>39</v>
      </c>
    </row>
    <row r="916" spans="1:24" x14ac:dyDescent="0.55000000000000004">
      <c r="A916" s="1" t="s">
        <v>1000</v>
      </c>
      <c r="B916" s="1" t="s">
        <v>41</v>
      </c>
      <c r="C916">
        <v>32</v>
      </c>
      <c r="D916" s="1" t="s">
        <v>42</v>
      </c>
      <c r="E916" s="1" t="s">
        <v>27</v>
      </c>
      <c r="F916" s="1" t="s">
        <v>28</v>
      </c>
      <c r="G916" s="1" t="s">
        <v>29</v>
      </c>
      <c r="H916" s="1" t="s">
        <v>77</v>
      </c>
      <c r="I916" s="1" t="s">
        <v>59</v>
      </c>
      <c r="J916" s="1" t="s">
        <v>54</v>
      </c>
      <c r="K916" s="1" t="s">
        <v>33</v>
      </c>
      <c r="L916" s="2">
        <v>45941</v>
      </c>
      <c r="M916" s="2">
        <v>45973</v>
      </c>
      <c r="N916">
        <v>1357807</v>
      </c>
      <c r="O916">
        <v>69844</v>
      </c>
      <c r="P916">
        <v>1287963</v>
      </c>
      <c r="Q916" s="1" t="s">
        <v>47</v>
      </c>
      <c r="R916" s="1" t="s">
        <v>35</v>
      </c>
      <c r="S916" s="1" t="s">
        <v>37</v>
      </c>
      <c r="T916" s="1" t="s">
        <v>36</v>
      </c>
      <c r="U916">
        <v>4.7</v>
      </c>
      <c r="V916" t="s">
        <v>38</v>
      </c>
      <c r="W916">
        <v>11</v>
      </c>
      <c r="X916" s="1" t="s">
        <v>60</v>
      </c>
    </row>
    <row r="917" spans="1:24" x14ac:dyDescent="0.55000000000000004">
      <c r="A917" s="1" t="s">
        <v>1001</v>
      </c>
      <c r="B917" s="1" t="s">
        <v>98</v>
      </c>
      <c r="C917">
        <v>55</v>
      </c>
      <c r="D917" s="1" t="s">
        <v>26</v>
      </c>
      <c r="E917" s="1" t="s">
        <v>52</v>
      </c>
      <c r="F917" s="1" t="s">
        <v>44</v>
      </c>
      <c r="G917" s="1" t="s">
        <v>29</v>
      </c>
      <c r="H917" s="1" t="s">
        <v>30</v>
      </c>
      <c r="I917" s="1" t="s">
        <v>45</v>
      </c>
      <c r="J917" s="1" t="s">
        <v>32</v>
      </c>
      <c r="K917" s="1" t="s">
        <v>46</v>
      </c>
      <c r="L917" s="2">
        <v>46121</v>
      </c>
      <c r="M917" s="2">
        <v>46153</v>
      </c>
      <c r="N917">
        <v>1597255</v>
      </c>
      <c r="O917">
        <v>86493</v>
      </c>
      <c r="P917">
        <v>1510762</v>
      </c>
      <c r="Q917" s="1" t="s">
        <v>78</v>
      </c>
      <c r="R917" s="1" t="s">
        <v>79</v>
      </c>
      <c r="S917" s="1" t="s">
        <v>36</v>
      </c>
      <c r="T917" s="1" t="s">
        <v>37</v>
      </c>
      <c r="U917">
        <v>3.4</v>
      </c>
      <c r="V917" t="s">
        <v>38</v>
      </c>
      <c r="W917">
        <v>5</v>
      </c>
      <c r="X917" s="1" t="s">
        <v>86</v>
      </c>
    </row>
    <row r="918" spans="1:24" x14ac:dyDescent="0.55000000000000004">
      <c r="A918" s="1" t="s">
        <v>1002</v>
      </c>
      <c r="B918" s="1" t="s">
        <v>25</v>
      </c>
      <c r="C918">
        <v>34</v>
      </c>
      <c r="D918" s="1" t="s">
        <v>42</v>
      </c>
      <c r="E918" s="1" t="s">
        <v>52</v>
      </c>
      <c r="F918" s="1" t="s">
        <v>44</v>
      </c>
      <c r="G918" s="1" t="s">
        <v>29</v>
      </c>
      <c r="H918" s="1" t="s">
        <v>65</v>
      </c>
      <c r="I918" s="1" t="s">
        <v>53</v>
      </c>
      <c r="J918" s="1" t="s">
        <v>32</v>
      </c>
      <c r="K918" s="1" t="s">
        <v>46</v>
      </c>
      <c r="L918" s="2">
        <v>45953</v>
      </c>
      <c r="M918" s="2">
        <v>45965</v>
      </c>
      <c r="N918">
        <v>1811920</v>
      </c>
      <c r="O918">
        <v>37670</v>
      </c>
      <c r="P918">
        <v>1774250</v>
      </c>
      <c r="Q918" s="1" t="s">
        <v>47</v>
      </c>
      <c r="R918" s="1" t="s">
        <v>109</v>
      </c>
      <c r="S918" s="1" t="s">
        <v>36</v>
      </c>
      <c r="T918" s="1" t="s">
        <v>37</v>
      </c>
      <c r="U918">
        <v>4.4000000000000004</v>
      </c>
      <c r="V918" t="s">
        <v>56</v>
      </c>
      <c r="W918">
        <v>11</v>
      </c>
      <c r="X918" s="1" t="s">
        <v>60</v>
      </c>
    </row>
    <row r="919" spans="1:24" x14ac:dyDescent="0.55000000000000004">
      <c r="A919" s="1" t="s">
        <v>1003</v>
      </c>
      <c r="B919" s="1" t="s">
        <v>51</v>
      </c>
      <c r="C919">
        <v>31</v>
      </c>
      <c r="D919" s="1" t="s">
        <v>26</v>
      </c>
      <c r="E919" s="1" t="s">
        <v>52</v>
      </c>
      <c r="F919" s="1" t="s">
        <v>44</v>
      </c>
      <c r="G919" s="1" t="s">
        <v>29</v>
      </c>
      <c r="H919" s="1" t="s">
        <v>77</v>
      </c>
      <c r="I919" s="1" t="s">
        <v>74</v>
      </c>
      <c r="J919" s="1" t="s">
        <v>32</v>
      </c>
      <c r="K919" s="1" t="s">
        <v>33</v>
      </c>
      <c r="L919" s="2">
        <v>46025</v>
      </c>
      <c r="M919" s="2">
        <v>46064</v>
      </c>
      <c r="N919">
        <v>1807561</v>
      </c>
      <c r="O919">
        <v>31136</v>
      </c>
      <c r="P919">
        <v>1776425</v>
      </c>
      <c r="Q919" s="1" t="s">
        <v>55</v>
      </c>
      <c r="R919" s="1" t="s">
        <v>35</v>
      </c>
      <c r="S919" s="1" t="s">
        <v>36</v>
      </c>
      <c r="T919" s="1" t="s">
        <v>37</v>
      </c>
      <c r="U919">
        <v>4.2</v>
      </c>
      <c r="V919" t="s">
        <v>38</v>
      </c>
      <c r="W919">
        <v>2</v>
      </c>
      <c r="X919" s="1" t="s">
        <v>107</v>
      </c>
    </row>
    <row r="920" spans="1:24" x14ac:dyDescent="0.55000000000000004">
      <c r="A920" s="1" t="s">
        <v>1004</v>
      </c>
      <c r="B920" s="1" t="s">
        <v>70</v>
      </c>
      <c r="C920">
        <v>35</v>
      </c>
      <c r="D920" s="1" t="s">
        <v>26</v>
      </c>
      <c r="E920" s="1" t="s">
        <v>71</v>
      </c>
      <c r="F920" s="1" t="s">
        <v>72</v>
      </c>
      <c r="G920" s="1" t="s">
        <v>29</v>
      </c>
      <c r="H920" s="1" t="s">
        <v>30</v>
      </c>
      <c r="I920" s="1" t="s">
        <v>74</v>
      </c>
      <c r="J920" s="1" t="s">
        <v>54</v>
      </c>
      <c r="K920" s="1" t="s">
        <v>33</v>
      </c>
      <c r="L920" s="2">
        <v>45796</v>
      </c>
      <c r="M920" s="2">
        <v>45839</v>
      </c>
      <c r="N920">
        <v>1788992</v>
      </c>
      <c r="O920">
        <v>73175</v>
      </c>
      <c r="P920">
        <v>1715817</v>
      </c>
      <c r="Q920" s="1" t="s">
        <v>78</v>
      </c>
      <c r="R920" s="1" t="s">
        <v>48</v>
      </c>
      <c r="S920" s="1" t="s">
        <v>37</v>
      </c>
      <c r="T920" s="1" t="s">
        <v>36</v>
      </c>
      <c r="U920">
        <v>4</v>
      </c>
      <c r="V920" t="s">
        <v>38</v>
      </c>
      <c r="W920">
        <v>7</v>
      </c>
      <c r="X920" s="1" t="s">
        <v>39</v>
      </c>
    </row>
    <row r="921" spans="1:24" x14ac:dyDescent="0.55000000000000004">
      <c r="A921" s="1" t="s">
        <v>1005</v>
      </c>
      <c r="B921" s="1" t="s">
        <v>105</v>
      </c>
      <c r="C921">
        <v>27</v>
      </c>
      <c r="D921" s="1" t="s">
        <v>26</v>
      </c>
      <c r="E921" s="1" t="s">
        <v>43</v>
      </c>
      <c r="F921" s="1" t="s">
        <v>44</v>
      </c>
      <c r="G921" s="1" t="s">
        <v>29</v>
      </c>
      <c r="H921" s="1" t="s">
        <v>30</v>
      </c>
      <c r="I921" s="1" t="s">
        <v>31</v>
      </c>
      <c r="J921" s="1" t="s">
        <v>32</v>
      </c>
      <c r="K921" s="1" t="s">
        <v>46</v>
      </c>
      <c r="L921" s="2">
        <v>46014</v>
      </c>
      <c r="M921" s="2">
        <v>46046</v>
      </c>
      <c r="N921">
        <v>1655100</v>
      </c>
      <c r="O921">
        <v>93361</v>
      </c>
      <c r="P921">
        <v>1561739</v>
      </c>
      <c r="Q921" s="1" t="s">
        <v>47</v>
      </c>
      <c r="R921" s="1" t="s">
        <v>109</v>
      </c>
      <c r="S921" s="1" t="s">
        <v>36</v>
      </c>
      <c r="T921" s="1" t="s">
        <v>37</v>
      </c>
      <c r="U921">
        <v>4.4000000000000004</v>
      </c>
      <c r="V921" t="s">
        <v>38</v>
      </c>
      <c r="W921">
        <v>1</v>
      </c>
      <c r="X921" s="1" t="s">
        <v>88</v>
      </c>
    </row>
    <row r="922" spans="1:24" x14ac:dyDescent="0.55000000000000004">
      <c r="A922" s="1" t="s">
        <v>1006</v>
      </c>
      <c r="B922" s="1" t="s">
        <v>62</v>
      </c>
      <c r="C922">
        <v>27</v>
      </c>
      <c r="D922" s="1" t="s">
        <v>42</v>
      </c>
      <c r="E922" s="1" t="s">
        <v>71</v>
      </c>
      <c r="F922" s="1" t="s">
        <v>72</v>
      </c>
      <c r="G922" s="1" t="s">
        <v>29</v>
      </c>
      <c r="H922" s="1" t="s">
        <v>77</v>
      </c>
      <c r="I922" s="1" t="s">
        <v>53</v>
      </c>
      <c r="J922" s="1" t="s">
        <v>32</v>
      </c>
      <c r="K922" s="1" t="s">
        <v>46</v>
      </c>
      <c r="L922" s="2">
        <v>45759</v>
      </c>
      <c r="M922" s="2">
        <v>45796</v>
      </c>
      <c r="N922">
        <v>1518083</v>
      </c>
      <c r="O922">
        <v>72856</v>
      </c>
      <c r="P922">
        <v>1445227</v>
      </c>
      <c r="Q922" s="1" t="s">
        <v>47</v>
      </c>
      <c r="R922" s="1" t="s">
        <v>109</v>
      </c>
      <c r="S922" s="1" t="s">
        <v>37</v>
      </c>
      <c r="T922" s="1" t="s">
        <v>37</v>
      </c>
      <c r="U922">
        <v>4.4000000000000004</v>
      </c>
      <c r="V922" t="s">
        <v>38</v>
      </c>
      <c r="W922">
        <v>5</v>
      </c>
      <c r="X922" s="1" t="s">
        <v>86</v>
      </c>
    </row>
    <row r="923" spans="1:24" x14ac:dyDescent="0.55000000000000004">
      <c r="A923" s="1" t="s">
        <v>1007</v>
      </c>
      <c r="B923" s="1" t="s">
        <v>25</v>
      </c>
      <c r="C923">
        <v>21</v>
      </c>
      <c r="D923" s="1" t="s">
        <v>42</v>
      </c>
      <c r="E923" s="1" t="s">
        <v>43</v>
      </c>
      <c r="F923" s="1" t="s">
        <v>44</v>
      </c>
      <c r="G923" s="1" t="s">
        <v>29</v>
      </c>
      <c r="H923" s="1" t="s">
        <v>30</v>
      </c>
      <c r="I923" s="1" t="s">
        <v>31</v>
      </c>
      <c r="J923" s="1" t="s">
        <v>54</v>
      </c>
      <c r="K923" s="1" t="s">
        <v>33</v>
      </c>
      <c r="L923" s="2">
        <v>45935</v>
      </c>
      <c r="M923" s="2">
        <v>45976</v>
      </c>
      <c r="N923">
        <v>1853777</v>
      </c>
      <c r="O923">
        <v>90919</v>
      </c>
      <c r="P923">
        <v>1762858</v>
      </c>
      <c r="Q923" s="1" t="s">
        <v>47</v>
      </c>
      <c r="R923" s="1" t="s">
        <v>48</v>
      </c>
      <c r="S923" s="1" t="s">
        <v>36</v>
      </c>
      <c r="T923" s="1" t="s">
        <v>37</v>
      </c>
      <c r="U923">
        <v>4.8</v>
      </c>
      <c r="V923" t="s">
        <v>38</v>
      </c>
      <c r="W923">
        <v>11</v>
      </c>
      <c r="X923" s="1" t="s">
        <v>60</v>
      </c>
    </row>
    <row r="924" spans="1:24" x14ac:dyDescent="0.55000000000000004">
      <c r="A924" s="1" t="s">
        <v>1008</v>
      </c>
      <c r="B924" s="1" t="s">
        <v>70</v>
      </c>
      <c r="C924">
        <v>37</v>
      </c>
      <c r="D924" s="1" t="s">
        <v>42</v>
      </c>
      <c r="E924" s="1" t="s">
        <v>43</v>
      </c>
      <c r="F924" s="1" t="s">
        <v>44</v>
      </c>
      <c r="G924" s="1" t="s">
        <v>29</v>
      </c>
      <c r="H924" s="1" t="s">
        <v>65</v>
      </c>
      <c r="I924" s="1" t="s">
        <v>74</v>
      </c>
      <c r="J924" s="1" t="s">
        <v>32</v>
      </c>
      <c r="K924" s="1" t="s">
        <v>33</v>
      </c>
      <c r="L924" s="2">
        <v>45734</v>
      </c>
      <c r="M924" s="2">
        <v>45778</v>
      </c>
      <c r="N924">
        <v>1713231</v>
      </c>
      <c r="O924">
        <v>56932</v>
      </c>
      <c r="P924">
        <v>1656299</v>
      </c>
      <c r="Q924" s="1" t="s">
        <v>34</v>
      </c>
      <c r="R924" s="1" t="s">
        <v>67</v>
      </c>
      <c r="S924" s="1" t="s">
        <v>36</v>
      </c>
      <c r="T924" s="1" t="s">
        <v>37</v>
      </c>
      <c r="U924">
        <v>4.4000000000000004</v>
      </c>
      <c r="V924" t="s">
        <v>38</v>
      </c>
      <c r="W924">
        <v>5</v>
      </c>
      <c r="X924" s="1" t="s">
        <v>86</v>
      </c>
    </row>
    <row r="925" spans="1:24" x14ac:dyDescent="0.55000000000000004">
      <c r="A925" s="1" t="s">
        <v>1009</v>
      </c>
      <c r="B925" s="1" t="s">
        <v>93</v>
      </c>
      <c r="C925">
        <v>21</v>
      </c>
      <c r="D925" s="1" t="s">
        <v>26</v>
      </c>
      <c r="E925" s="1" t="s">
        <v>84</v>
      </c>
      <c r="F925" s="1" t="s">
        <v>85</v>
      </c>
      <c r="G925" s="1" t="s">
        <v>29</v>
      </c>
      <c r="H925" s="1" t="s">
        <v>77</v>
      </c>
      <c r="I925" s="1" t="s">
        <v>31</v>
      </c>
      <c r="J925" s="1" t="s">
        <v>54</v>
      </c>
      <c r="K925" s="1" t="s">
        <v>33</v>
      </c>
      <c r="L925" s="2">
        <v>46163</v>
      </c>
      <c r="M925" s="2">
        <v>46192</v>
      </c>
      <c r="N925">
        <v>1682761</v>
      </c>
      <c r="O925">
        <v>94282</v>
      </c>
      <c r="P925">
        <v>1588479</v>
      </c>
      <c r="Q925" s="1" t="s">
        <v>55</v>
      </c>
      <c r="R925" s="1" t="s">
        <v>109</v>
      </c>
      <c r="S925" s="1" t="s">
        <v>37</v>
      </c>
      <c r="T925" s="1" t="s">
        <v>37</v>
      </c>
      <c r="U925">
        <v>4.0999999999999996</v>
      </c>
      <c r="V925" t="s">
        <v>38</v>
      </c>
      <c r="W925">
        <v>6</v>
      </c>
      <c r="X925" s="1" t="s">
        <v>68</v>
      </c>
    </row>
    <row r="926" spans="1:24" x14ac:dyDescent="0.55000000000000004">
      <c r="A926" s="1" t="s">
        <v>1010</v>
      </c>
      <c r="B926" s="1" t="s">
        <v>70</v>
      </c>
      <c r="C926">
        <v>30</v>
      </c>
      <c r="D926" s="1" t="s">
        <v>26</v>
      </c>
      <c r="E926" s="1" t="s">
        <v>71</v>
      </c>
      <c r="F926" s="1" t="s">
        <v>72</v>
      </c>
      <c r="G926" s="1" t="s">
        <v>29</v>
      </c>
      <c r="H926" s="1" t="s">
        <v>77</v>
      </c>
      <c r="I926" s="1" t="s">
        <v>59</v>
      </c>
      <c r="J926" s="1" t="s">
        <v>54</v>
      </c>
      <c r="K926" s="1" t="s">
        <v>33</v>
      </c>
      <c r="L926" s="2">
        <v>46158</v>
      </c>
      <c r="M926" s="2">
        <v>46167</v>
      </c>
      <c r="N926">
        <v>1720920</v>
      </c>
      <c r="O926">
        <v>51463</v>
      </c>
      <c r="P926">
        <v>1669457</v>
      </c>
      <c r="Q926" s="1" t="s">
        <v>34</v>
      </c>
      <c r="R926" s="1" t="s">
        <v>48</v>
      </c>
      <c r="S926" s="1" t="s">
        <v>36</v>
      </c>
      <c r="T926" s="1" t="s">
        <v>37</v>
      </c>
      <c r="U926">
        <v>3.3</v>
      </c>
      <c r="V926" t="s">
        <v>91</v>
      </c>
      <c r="W926">
        <v>5</v>
      </c>
      <c r="X926" s="1" t="s">
        <v>86</v>
      </c>
    </row>
    <row r="927" spans="1:24" x14ac:dyDescent="0.55000000000000004">
      <c r="A927" s="1" t="s">
        <v>1011</v>
      </c>
      <c r="B927" s="1" t="s">
        <v>70</v>
      </c>
      <c r="C927">
        <v>23</v>
      </c>
      <c r="D927" s="1" t="s">
        <v>42</v>
      </c>
      <c r="E927" s="1" t="s">
        <v>52</v>
      </c>
      <c r="F927" s="1" t="s">
        <v>44</v>
      </c>
      <c r="G927" s="1" t="s">
        <v>29</v>
      </c>
      <c r="H927" s="1" t="s">
        <v>65</v>
      </c>
      <c r="I927" s="1" t="s">
        <v>53</v>
      </c>
      <c r="J927" s="1" t="s">
        <v>32</v>
      </c>
      <c r="K927" s="1" t="s">
        <v>46</v>
      </c>
      <c r="L927" s="2">
        <v>45825</v>
      </c>
      <c r="M927" s="2">
        <v>45858</v>
      </c>
      <c r="N927">
        <v>1456079</v>
      </c>
      <c r="O927">
        <v>64891</v>
      </c>
      <c r="P927">
        <v>1391188</v>
      </c>
      <c r="Q927" s="1" t="s">
        <v>34</v>
      </c>
      <c r="R927" s="1" t="s">
        <v>35</v>
      </c>
      <c r="S927" s="1" t="s">
        <v>37</v>
      </c>
      <c r="T927" s="1" t="s">
        <v>37</v>
      </c>
      <c r="U927">
        <v>3.7</v>
      </c>
      <c r="V927" t="s">
        <v>38</v>
      </c>
      <c r="W927">
        <v>7</v>
      </c>
      <c r="X927" s="1" t="s">
        <v>39</v>
      </c>
    </row>
    <row r="928" spans="1:24" x14ac:dyDescent="0.55000000000000004">
      <c r="A928" s="1" t="s">
        <v>1012</v>
      </c>
      <c r="B928" s="1" t="s">
        <v>41</v>
      </c>
      <c r="C928">
        <v>44</v>
      </c>
      <c r="D928" s="1" t="s">
        <v>42</v>
      </c>
      <c r="E928" s="1" t="s">
        <v>84</v>
      </c>
      <c r="F928" s="1" t="s">
        <v>85</v>
      </c>
      <c r="G928" s="1" t="s">
        <v>29</v>
      </c>
      <c r="H928" s="1" t="s">
        <v>65</v>
      </c>
      <c r="I928" s="1" t="s">
        <v>31</v>
      </c>
      <c r="J928" s="1" t="s">
        <v>54</v>
      </c>
      <c r="K928" s="1" t="s">
        <v>46</v>
      </c>
      <c r="L928" s="2">
        <v>45709</v>
      </c>
      <c r="M928" s="2">
        <v>45748</v>
      </c>
      <c r="N928">
        <v>1815587</v>
      </c>
      <c r="O928">
        <v>31433</v>
      </c>
      <c r="P928">
        <v>1784154</v>
      </c>
      <c r="Q928" s="1" t="s">
        <v>47</v>
      </c>
      <c r="R928" s="1" t="s">
        <v>35</v>
      </c>
      <c r="S928" s="1" t="s">
        <v>36</v>
      </c>
      <c r="T928" s="1" t="s">
        <v>36</v>
      </c>
      <c r="U928">
        <v>4.9000000000000004</v>
      </c>
      <c r="V928" t="s">
        <v>38</v>
      </c>
      <c r="W928">
        <v>4</v>
      </c>
      <c r="X928" s="1" t="s">
        <v>63</v>
      </c>
    </row>
    <row r="929" spans="1:24" x14ac:dyDescent="0.55000000000000004">
      <c r="A929" s="1" t="s">
        <v>1013</v>
      </c>
      <c r="B929" s="1" t="s">
        <v>62</v>
      </c>
      <c r="C929">
        <v>51</v>
      </c>
      <c r="D929" s="1" t="s">
        <v>42</v>
      </c>
      <c r="E929" s="1" t="s">
        <v>43</v>
      </c>
      <c r="F929" s="1" t="s">
        <v>44</v>
      </c>
      <c r="G929" s="1" t="s">
        <v>29</v>
      </c>
      <c r="H929" s="1" t="s">
        <v>30</v>
      </c>
      <c r="I929" s="1" t="s">
        <v>59</v>
      </c>
      <c r="J929" s="1" t="s">
        <v>32</v>
      </c>
      <c r="K929" s="1" t="s">
        <v>46</v>
      </c>
      <c r="L929" s="2">
        <v>46160</v>
      </c>
      <c r="M929" s="2">
        <v>46203</v>
      </c>
      <c r="N929">
        <v>1617532</v>
      </c>
      <c r="O929">
        <v>86980</v>
      </c>
      <c r="P929">
        <v>1530552</v>
      </c>
      <c r="Q929" s="1" t="s">
        <v>47</v>
      </c>
      <c r="R929" s="1" t="s">
        <v>35</v>
      </c>
      <c r="S929" s="1" t="s">
        <v>36</v>
      </c>
      <c r="T929" s="1" t="s">
        <v>37</v>
      </c>
      <c r="U929">
        <v>4.0999999999999996</v>
      </c>
      <c r="V929" t="s">
        <v>38</v>
      </c>
      <c r="W929">
        <v>6</v>
      </c>
      <c r="X929" s="1" t="s">
        <v>68</v>
      </c>
    </row>
    <row r="930" spans="1:24" x14ac:dyDescent="0.55000000000000004">
      <c r="A930" s="1" t="s">
        <v>1014</v>
      </c>
      <c r="B930" s="1" t="s">
        <v>98</v>
      </c>
      <c r="C930">
        <v>39</v>
      </c>
      <c r="D930" s="1" t="s">
        <v>42</v>
      </c>
      <c r="E930" s="1" t="s">
        <v>27</v>
      </c>
      <c r="F930" s="1" t="s">
        <v>28</v>
      </c>
      <c r="G930" s="1" t="s">
        <v>29</v>
      </c>
      <c r="H930" s="1" t="s">
        <v>65</v>
      </c>
      <c r="I930" s="1" t="s">
        <v>74</v>
      </c>
      <c r="J930" s="1" t="s">
        <v>32</v>
      </c>
      <c r="K930" s="1" t="s">
        <v>33</v>
      </c>
      <c r="L930" s="2">
        <v>45803</v>
      </c>
      <c r="M930" s="2">
        <v>45813</v>
      </c>
      <c r="N930">
        <v>1545023</v>
      </c>
      <c r="O930">
        <v>20765</v>
      </c>
      <c r="P930">
        <v>1524258</v>
      </c>
      <c r="Q930" s="1" t="s">
        <v>55</v>
      </c>
      <c r="R930" s="1" t="s">
        <v>67</v>
      </c>
      <c r="S930" s="1" t="s">
        <v>36</v>
      </c>
      <c r="T930" s="1" t="s">
        <v>37</v>
      </c>
      <c r="U930">
        <v>4.2</v>
      </c>
      <c r="V930" t="s">
        <v>91</v>
      </c>
      <c r="W930">
        <v>6</v>
      </c>
      <c r="X930" s="1" t="s">
        <v>68</v>
      </c>
    </row>
    <row r="931" spans="1:24" x14ac:dyDescent="0.55000000000000004">
      <c r="A931" s="1" t="s">
        <v>1015</v>
      </c>
      <c r="B931" s="1" t="s">
        <v>51</v>
      </c>
      <c r="C931">
        <v>55</v>
      </c>
      <c r="D931" s="1" t="s">
        <v>26</v>
      </c>
      <c r="E931" s="1" t="s">
        <v>90</v>
      </c>
      <c r="F931" s="1" t="s">
        <v>44</v>
      </c>
      <c r="G931" s="1" t="s">
        <v>29</v>
      </c>
      <c r="H931" s="1" t="s">
        <v>77</v>
      </c>
      <c r="I931" s="1" t="s">
        <v>45</v>
      </c>
      <c r="J931" s="1" t="s">
        <v>32</v>
      </c>
      <c r="K931" s="1" t="s">
        <v>46</v>
      </c>
      <c r="L931" s="2">
        <v>45979</v>
      </c>
      <c r="M931" s="2">
        <v>45996</v>
      </c>
      <c r="N931">
        <v>1681678</v>
      </c>
      <c r="O931">
        <v>64830</v>
      </c>
      <c r="P931">
        <v>1616848</v>
      </c>
      <c r="Q931" s="1" t="s">
        <v>47</v>
      </c>
      <c r="R931" s="1" t="s">
        <v>109</v>
      </c>
      <c r="S931" s="1" t="s">
        <v>36</v>
      </c>
      <c r="T931" s="1" t="s">
        <v>37</v>
      </c>
      <c r="U931">
        <v>4.5999999999999996</v>
      </c>
      <c r="V931" t="s">
        <v>56</v>
      </c>
      <c r="W931">
        <v>12</v>
      </c>
      <c r="X931" s="1" t="s">
        <v>49</v>
      </c>
    </row>
    <row r="932" spans="1:24" x14ac:dyDescent="0.55000000000000004">
      <c r="A932" s="1" t="s">
        <v>1016</v>
      </c>
      <c r="B932" s="1" t="s">
        <v>81</v>
      </c>
      <c r="C932">
        <v>49</v>
      </c>
      <c r="D932" s="1" t="s">
        <v>26</v>
      </c>
      <c r="E932" s="1" t="s">
        <v>27</v>
      </c>
      <c r="F932" s="1" t="s">
        <v>28</v>
      </c>
      <c r="G932" s="1" t="s">
        <v>29</v>
      </c>
      <c r="H932" s="1" t="s">
        <v>30</v>
      </c>
      <c r="I932" s="1" t="s">
        <v>74</v>
      </c>
      <c r="J932" s="1" t="s">
        <v>32</v>
      </c>
      <c r="K932" s="1" t="s">
        <v>33</v>
      </c>
      <c r="L932" s="2">
        <v>45882</v>
      </c>
      <c r="M932" s="2">
        <v>45915</v>
      </c>
      <c r="N932">
        <v>1762607</v>
      </c>
      <c r="O932">
        <v>67800</v>
      </c>
      <c r="P932">
        <v>1694807</v>
      </c>
      <c r="Q932" s="1" t="s">
        <v>34</v>
      </c>
      <c r="R932" s="1" t="s">
        <v>35</v>
      </c>
      <c r="S932" s="1" t="s">
        <v>36</v>
      </c>
      <c r="T932" s="1" t="s">
        <v>36</v>
      </c>
      <c r="U932">
        <v>4.5</v>
      </c>
      <c r="V932" t="s">
        <v>38</v>
      </c>
      <c r="W932">
        <v>9</v>
      </c>
      <c r="X932" s="1" t="s">
        <v>103</v>
      </c>
    </row>
    <row r="933" spans="1:24" x14ac:dyDescent="0.55000000000000004">
      <c r="A933" s="1" t="s">
        <v>1017</v>
      </c>
      <c r="B933" s="1" t="s">
        <v>105</v>
      </c>
      <c r="C933">
        <v>28</v>
      </c>
      <c r="D933" s="1" t="s">
        <v>42</v>
      </c>
      <c r="E933" s="1" t="s">
        <v>71</v>
      </c>
      <c r="F933" s="1" t="s">
        <v>72</v>
      </c>
      <c r="G933" s="1" t="s">
        <v>29</v>
      </c>
      <c r="H933" s="1" t="s">
        <v>65</v>
      </c>
      <c r="I933" s="1" t="s">
        <v>53</v>
      </c>
      <c r="J933" s="1" t="s">
        <v>54</v>
      </c>
      <c r="K933" s="1" t="s">
        <v>46</v>
      </c>
      <c r="L933" s="2">
        <v>46198</v>
      </c>
      <c r="M933" s="2">
        <v>46228</v>
      </c>
      <c r="N933">
        <v>1336954</v>
      </c>
      <c r="O933">
        <v>34050</v>
      </c>
      <c r="P933">
        <v>1302904</v>
      </c>
      <c r="Q933" s="1" t="s">
        <v>66</v>
      </c>
      <c r="R933" s="1" t="s">
        <v>48</v>
      </c>
      <c r="S933" s="1" t="s">
        <v>36</v>
      </c>
      <c r="T933" s="1" t="s">
        <v>36</v>
      </c>
      <c r="U933">
        <v>3.2</v>
      </c>
      <c r="V933" t="s">
        <v>38</v>
      </c>
      <c r="W933">
        <v>7</v>
      </c>
      <c r="X933" s="1" t="s">
        <v>39</v>
      </c>
    </row>
    <row r="934" spans="1:24" x14ac:dyDescent="0.55000000000000004">
      <c r="A934" s="1" t="s">
        <v>1018</v>
      </c>
      <c r="B934" s="1" t="s">
        <v>51</v>
      </c>
      <c r="C934">
        <v>29</v>
      </c>
      <c r="D934" s="1" t="s">
        <v>26</v>
      </c>
      <c r="E934" s="1" t="s">
        <v>52</v>
      </c>
      <c r="F934" s="1" t="s">
        <v>44</v>
      </c>
      <c r="G934" s="1" t="s">
        <v>29</v>
      </c>
      <c r="H934" s="1" t="s">
        <v>30</v>
      </c>
      <c r="I934" s="1" t="s">
        <v>45</v>
      </c>
      <c r="J934" s="1" t="s">
        <v>54</v>
      </c>
      <c r="K934" s="1" t="s">
        <v>33</v>
      </c>
      <c r="L934" s="2">
        <v>45697</v>
      </c>
      <c r="M934" s="2">
        <v>45742</v>
      </c>
      <c r="N934">
        <v>1327949</v>
      </c>
      <c r="O934">
        <v>26370</v>
      </c>
      <c r="P934">
        <v>1301579</v>
      </c>
      <c r="Q934" s="1" t="s">
        <v>66</v>
      </c>
      <c r="R934" s="1" t="s">
        <v>48</v>
      </c>
      <c r="S934" s="1" t="s">
        <v>37</v>
      </c>
      <c r="T934" s="1" t="s">
        <v>36</v>
      </c>
      <c r="U934">
        <v>3.9</v>
      </c>
      <c r="V934" t="s">
        <v>38</v>
      </c>
      <c r="W934">
        <v>3</v>
      </c>
      <c r="X934" s="1" t="s">
        <v>96</v>
      </c>
    </row>
    <row r="935" spans="1:24" x14ac:dyDescent="0.55000000000000004">
      <c r="A935" s="1" t="s">
        <v>1019</v>
      </c>
      <c r="B935" s="1" t="s">
        <v>83</v>
      </c>
      <c r="C935">
        <v>36</v>
      </c>
      <c r="D935" s="1" t="s">
        <v>42</v>
      </c>
      <c r="E935" s="1" t="s">
        <v>52</v>
      </c>
      <c r="F935" s="1" t="s">
        <v>44</v>
      </c>
      <c r="G935" s="1" t="s">
        <v>29</v>
      </c>
      <c r="H935" s="1" t="s">
        <v>77</v>
      </c>
      <c r="I935" s="1" t="s">
        <v>31</v>
      </c>
      <c r="J935" s="1" t="s">
        <v>32</v>
      </c>
      <c r="K935" s="1" t="s">
        <v>46</v>
      </c>
      <c r="L935" s="2">
        <v>46113</v>
      </c>
      <c r="M935" s="2">
        <v>46132</v>
      </c>
      <c r="N935">
        <v>1517528</v>
      </c>
      <c r="O935">
        <v>23913</v>
      </c>
      <c r="P935">
        <v>1493615</v>
      </c>
      <c r="Q935" s="1" t="s">
        <v>78</v>
      </c>
      <c r="R935" s="1" t="s">
        <v>48</v>
      </c>
      <c r="S935" s="1" t="s">
        <v>36</v>
      </c>
      <c r="T935" s="1" t="s">
        <v>36</v>
      </c>
      <c r="U935">
        <v>4.7</v>
      </c>
      <c r="V935" t="s">
        <v>56</v>
      </c>
      <c r="W935">
        <v>4</v>
      </c>
      <c r="X935" s="1" t="s">
        <v>63</v>
      </c>
    </row>
    <row r="936" spans="1:24" x14ac:dyDescent="0.55000000000000004">
      <c r="A936" s="1" t="s">
        <v>1020</v>
      </c>
      <c r="B936" s="1" t="s">
        <v>70</v>
      </c>
      <c r="C936">
        <v>59</v>
      </c>
      <c r="D936" s="1" t="s">
        <v>42</v>
      </c>
      <c r="E936" s="1" t="s">
        <v>43</v>
      </c>
      <c r="F936" s="1" t="s">
        <v>44</v>
      </c>
      <c r="G936" s="1" t="s">
        <v>29</v>
      </c>
      <c r="H936" s="1" t="s">
        <v>30</v>
      </c>
      <c r="I936" s="1" t="s">
        <v>45</v>
      </c>
      <c r="J936" s="1" t="s">
        <v>32</v>
      </c>
      <c r="K936" s="1" t="s">
        <v>46</v>
      </c>
      <c r="L936" s="2">
        <v>46154</v>
      </c>
      <c r="M936" s="2">
        <v>46164</v>
      </c>
      <c r="N936">
        <v>1437912</v>
      </c>
      <c r="O936">
        <v>89361</v>
      </c>
      <c r="P936">
        <v>1348551</v>
      </c>
      <c r="Q936" s="1" t="s">
        <v>78</v>
      </c>
      <c r="R936" s="1" t="s">
        <v>67</v>
      </c>
      <c r="S936" s="1" t="s">
        <v>36</v>
      </c>
      <c r="T936" s="1" t="s">
        <v>37</v>
      </c>
      <c r="U936">
        <v>4.7</v>
      </c>
      <c r="V936" t="s">
        <v>91</v>
      </c>
      <c r="W936">
        <v>5</v>
      </c>
      <c r="X936" s="1" t="s">
        <v>86</v>
      </c>
    </row>
    <row r="937" spans="1:24" x14ac:dyDescent="0.55000000000000004">
      <c r="A937" s="1" t="s">
        <v>1021</v>
      </c>
      <c r="B937" s="1" t="s">
        <v>81</v>
      </c>
      <c r="C937">
        <v>50</v>
      </c>
      <c r="D937" s="1" t="s">
        <v>42</v>
      </c>
      <c r="E937" s="1" t="s">
        <v>52</v>
      </c>
      <c r="F937" s="1" t="s">
        <v>44</v>
      </c>
      <c r="G937" s="1" t="s">
        <v>29</v>
      </c>
      <c r="H937" s="1" t="s">
        <v>30</v>
      </c>
      <c r="I937" s="1" t="s">
        <v>53</v>
      </c>
      <c r="J937" s="1" t="s">
        <v>54</v>
      </c>
      <c r="K937" s="1" t="s">
        <v>46</v>
      </c>
      <c r="L937" s="2">
        <v>45928</v>
      </c>
      <c r="M937" s="2">
        <v>45962</v>
      </c>
      <c r="N937">
        <v>1502301</v>
      </c>
      <c r="O937">
        <v>10673</v>
      </c>
      <c r="P937">
        <v>1491628</v>
      </c>
      <c r="Q937" s="1" t="s">
        <v>78</v>
      </c>
      <c r="R937" s="1" t="s">
        <v>67</v>
      </c>
      <c r="S937" s="1" t="s">
        <v>36</v>
      </c>
      <c r="T937" s="1" t="s">
        <v>37</v>
      </c>
      <c r="U937">
        <v>4.0999999999999996</v>
      </c>
      <c r="V937" t="s">
        <v>38</v>
      </c>
      <c r="W937">
        <v>11</v>
      </c>
      <c r="X937" s="1" t="s">
        <v>60</v>
      </c>
    </row>
    <row r="938" spans="1:24" x14ac:dyDescent="0.55000000000000004">
      <c r="A938" s="1" t="s">
        <v>1022</v>
      </c>
      <c r="B938" s="1" t="s">
        <v>105</v>
      </c>
      <c r="C938">
        <v>42</v>
      </c>
      <c r="D938" s="1" t="s">
        <v>42</v>
      </c>
      <c r="E938" s="1" t="s">
        <v>90</v>
      </c>
      <c r="F938" s="1" t="s">
        <v>44</v>
      </c>
      <c r="G938" s="1" t="s">
        <v>29</v>
      </c>
      <c r="H938" s="1" t="s">
        <v>65</v>
      </c>
      <c r="I938" s="1" t="s">
        <v>53</v>
      </c>
      <c r="J938" s="1" t="s">
        <v>32</v>
      </c>
      <c r="K938" s="1" t="s">
        <v>46</v>
      </c>
      <c r="L938" s="2">
        <v>45865</v>
      </c>
      <c r="M938" s="2">
        <v>45882</v>
      </c>
      <c r="N938">
        <v>1320137</v>
      </c>
      <c r="O938">
        <v>94233</v>
      </c>
      <c r="P938">
        <v>1225904</v>
      </c>
      <c r="Q938" s="1" t="s">
        <v>78</v>
      </c>
      <c r="R938" s="1" t="s">
        <v>109</v>
      </c>
      <c r="S938" s="1" t="s">
        <v>36</v>
      </c>
      <c r="T938" s="1" t="s">
        <v>37</v>
      </c>
      <c r="U938">
        <v>3.1</v>
      </c>
      <c r="V938" t="s">
        <v>56</v>
      </c>
      <c r="W938">
        <v>8</v>
      </c>
      <c r="X938" s="1" t="s">
        <v>57</v>
      </c>
    </row>
    <row r="939" spans="1:24" x14ac:dyDescent="0.55000000000000004">
      <c r="A939" s="1" t="s">
        <v>1023</v>
      </c>
      <c r="B939" s="1" t="s">
        <v>93</v>
      </c>
      <c r="C939">
        <v>22</v>
      </c>
      <c r="D939" s="1" t="s">
        <v>42</v>
      </c>
      <c r="E939" s="1" t="s">
        <v>43</v>
      </c>
      <c r="F939" s="1" t="s">
        <v>44</v>
      </c>
      <c r="G939" s="1" t="s">
        <v>29</v>
      </c>
      <c r="H939" s="1" t="s">
        <v>65</v>
      </c>
      <c r="I939" s="1" t="s">
        <v>45</v>
      </c>
      <c r="J939" s="1" t="s">
        <v>32</v>
      </c>
      <c r="K939" s="1" t="s">
        <v>33</v>
      </c>
      <c r="L939" s="2">
        <v>45797</v>
      </c>
      <c r="M939" s="2">
        <v>45824</v>
      </c>
      <c r="N939">
        <v>1765727</v>
      </c>
      <c r="O939">
        <v>10288</v>
      </c>
      <c r="P939">
        <v>1755439</v>
      </c>
      <c r="Q939" s="1" t="s">
        <v>34</v>
      </c>
      <c r="R939" s="1" t="s">
        <v>79</v>
      </c>
      <c r="S939" s="1" t="s">
        <v>37</v>
      </c>
      <c r="T939" s="1" t="s">
        <v>36</v>
      </c>
      <c r="U939">
        <v>3.5</v>
      </c>
      <c r="V939" t="s">
        <v>38</v>
      </c>
      <c r="W939">
        <v>6</v>
      </c>
      <c r="X939" s="1" t="s">
        <v>68</v>
      </c>
    </row>
    <row r="940" spans="1:24" x14ac:dyDescent="0.55000000000000004">
      <c r="A940" s="1" t="s">
        <v>1024</v>
      </c>
      <c r="B940" s="1" t="s">
        <v>41</v>
      </c>
      <c r="C940">
        <v>25</v>
      </c>
      <c r="D940" s="1" t="s">
        <v>42</v>
      </c>
      <c r="E940" s="1" t="s">
        <v>84</v>
      </c>
      <c r="F940" s="1" t="s">
        <v>85</v>
      </c>
      <c r="G940" s="1" t="s">
        <v>29</v>
      </c>
      <c r="H940" s="1" t="s">
        <v>65</v>
      </c>
      <c r="I940" s="1" t="s">
        <v>45</v>
      </c>
      <c r="J940" s="1" t="s">
        <v>54</v>
      </c>
      <c r="K940" s="1" t="s">
        <v>33</v>
      </c>
      <c r="L940" s="2">
        <v>45949</v>
      </c>
      <c r="M940" s="2">
        <v>45987</v>
      </c>
      <c r="N940">
        <v>1542705</v>
      </c>
      <c r="O940">
        <v>19593</v>
      </c>
      <c r="P940">
        <v>1523112</v>
      </c>
      <c r="Q940" s="1" t="s">
        <v>47</v>
      </c>
      <c r="R940" s="1" t="s">
        <v>109</v>
      </c>
      <c r="S940" s="1" t="s">
        <v>36</v>
      </c>
      <c r="T940" s="1" t="s">
        <v>36</v>
      </c>
      <c r="U940">
        <v>4.2</v>
      </c>
      <c r="V940" t="s">
        <v>38</v>
      </c>
      <c r="W940">
        <v>11</v>
      </c>
      <c r="X940" s="1" t="s">
        <v>60</v>
      </c>
    </row>
    <row r="941" spans="1:24" x14ac:dyDescent="0.55000000000000004">
      <c r="A941" s="1" t="s">
        <v>1025</v>
      </c>
      <c r="B941" s="1" t="s">
        <v>93</v>
      </c>
      <c r="C941">
        <v>52</v>
      </c>
      <c r="D941" s="1" t="s">
        <v>26</v>
      </c>
      <c r="E941" s="1" t="s">
        <v>27</v>
      </c>
      <c r="F941" s="1" t="s">
        <v>28</v>
      </c>
      <c r="G941" s="1" t="s">
        <v>29</v>
      </c>
      <c r="H941" s="1" t="s">
        <v>65</v>
      </c>
      <c r="I941" s="1" t="s">
        <v>31</v>
      </c>
      <c r="J941" s="1" t="s">
        <v>54</v>
      </c>
      <c r="K941" s="1" t="s">
        <v>33</v>
      </c>
      <c r="L941" s="2">
        <v>46064</v>
      </c>
      <c r="M941" s="2">
        <v>46102</v>
      </c>
      <c r="N941">
        <v>1670199</v>
      </c>
      <c r="O941">
        <v>34369</v>
      </c>
      <c r="P941">
        <v>1635830</v>
      </c>
      <c r="Q941" s="1" t="s">
        <v>55</v>
      </c>
      <c r="R941" s="1" t="s">
        <v>109</v>
      </c>
      <c r="S941" s="1" t="s">
        <v>36</v>
      </c>
      <c r="T941" s="1" t="s">
        <v>36</v>
      </c>
      <c r="U941">
        <v>4.5999999999999996</v>
      </c>
      <c r="V941" t="s">
        <v>38</v>
      </c>
      <c r="W941">
        <v>3</v>
      </c>
      <c r="X941" s="1" t="s">
        <v>96</v>
      </c>
    </row>
    <row r="942" spans="1:24" x14ac:dyDescent="0.55000000000000004">
      <c r="A942" s="1" t="s">
        <v>1026</v>
      </c>
      <c r="B942" s="1" t="s">
        <v>62</v>
      </c>
      <c r="C942">
        <v>37</v>
      </c>
      <c r="D942" s="1" t="s">
        <v>42</v>
      </c>
      <c r="E942" s="1" t="s">
        <v>84</v>
      </c>
      <c r="F942" s="1" t="s">
        <v>85</v>
      </c>
      <c r="G942" s="1" t="s">
        <v>29</v>
      </c>
      <c r="H942" s="1" t="s">
        <v>30</v>
      </c>
      <c r="I942" s="1" t="s">
        <v>59</v>
      </c>
      <c r="J942" s="1" t="s">
        <v>54</v>
      </c>
      <c r="K942" s="1" t="s">
        <v>46</v>
      </c>
      <c r="L942" s="2">
        <v>45727</v>
      </c>
      <c r="M942" s="2">
        <v>45770</v>
      </c>
      <c r="N942">
        <v>1786256</v>
      </c>
      <c r="O942">
        <v>83916</v>
      </c>
      <c r="P942">
        <v>1702340</v>
      </c>
      <c r="Q942" s="1" t="s">
        <v>55</v>
      </c>
      <c r="R942" s="1" t="s">
        <v>35</v>
      </c>
      <c r="S942" s="1" t="s">
        <v>37</v>
      </c>
      <c r="T942" s="1" t="s">
        <v>36</v>
      </c>
      <c r="U942">
        <v>4.9000000000000004</v>
      </c>
      <c r="V942" t="s">
        <v>38</v>
      </c>
      <c r="W942">
        <v>4</v>
      </c>
      <c r="X942" s="1" t="s">
        <v>63</v>
      </c>
    </row>
    <row r="943" spans="1:24" x14ac:dyDescent="0.55000000000000004">
      <c r="A943" s="1" t="s">
        <v>1027</v>
      </c>
      <c r="B943" s="1" t="s">
        <v>83</v>
      </c>
      <c r="C943">
        <v>30</v>
      </c>
      <c r="D943" s="1" t="s">
        <v>42</v>
      </c>
      <c r="E943" s="1" t="s">
        <v>71</v>
      </c>
      <c r="F943" s="1" t="s">
        <v>72</v>
      </c>
      <c r="G943" s="1" t="s">
        <v>29</v>
      </c>
      <c r="H943" s="1" t="s">
        <v>30</v>
      </c>
      <c r="I943" s="1" t="s">
        <v>59</v>
      </c>
      <c r="J943" s="1" t="s">
        <v>32</v>
      </c>
      <c r="K943" s="1" t="s">
        <v>33</v>
      </c>
      <c r="L943" s="2">
        <v>45836</v>
      </c>
      <c r="M943" s="2">
        <v>45862</v>
      </c>
      <c r="N943">
        <v>1845569</v>
      </c>
      <c r="O943">
        <v>81263</v>
      </c>
      <c r="P943">
        <v>1764306</v>
      </c>
      <c r="Q943" s="1" t="s">
        <v>47</v>
      </c>
      <c r="R943" s="1" t="s">
        <v>48</v>
      </c>
      <c r="S943" s="1" t="s">
        <v>37</v>
      </c>
      <c r="T943" s="1" t="s">
        <v>36</v>
      </c>
      <c r="U943">
        <v>3.2</v>
      </c>
      <c r="V943" t="s">
        <v>38</v>
      </c>
      <c r="W943">
        <v>7</v>
      </c>
      <c r="X943" s="1" t="s">
        <v>39</v>
      </c>
    </row>
    <row r="944" spans="1:24" x14ac:dyDescent="0.55000000000000004">
      <c r="A944" s="1" t="s">
        <v>1028</v>
      </c>
      <c r="B944" s="1" t="s">
        <v>93</v>
      </c>
      <c r="C944">
        <v>40</v>
      </c>
      <c r="D944" s="1" t="s">
        <v>26</v>
      </c>
      <c r="E944" s="1" t="s">
        <v>84</v>
      </c>
      <c r="F944" s="1" t="s">
        <v>85</v>
      </c>
      <c r="G944" s="1" t="s">
        <v>29</v>
      </c>
      <c r="H944" s="1" t="s">
        <v>30</v>
      </c>
      <c r="I944" s="1" t="s">
        <v>74</v>
      </c>
      <c r="J944" s="1" t="s">
        <v>32</v>
      </c>
      <c r="K944" s="1" t="s">
        <v>46</v>
      </c>
      <c r="L944" s="2">
        <v>46122</v>
      </c>
      <c r="M944" s="2">
        <v>46129</v>
      </c>
      <c r="N944">
        <v>1861288</v>
      </c>
      <c r="O944">
        <v>24773</v>
      </c>
      <c r="P944">
        <v>1836515</v>
      </c>
      <c r="Q944" s="1" t="s">
        <v>47</v>
      </c>
      <c r="R944" s="1" t="s">
        <v>48</v>
      </c>
      <c r="S944" s="1" t="s">
        <v>37</v>
      </c>
      <c r="T944" s="1" t="s">
        <v>37</v>
      </c>
      <c r="U944">
        <v>4.7</v>
      </c>
      <c r="V944" t="s">
        <v>91</v>
      </c>
      <c r="W944">
        <v>4</v>
      </c>
      <c r="X944" s="1" t="s">
        <v>63</v>
      </c>
    </row>
    <row r="945" spans="1:24" x14ac:dyDescent="0.55000000000000004">
      <c r="A945" s="1" t="s">
        <v>1029</v>
      </c>
      <c r="B945" s="1" t="s">
        <v>25</v>
      </c>
      <c r="C945">
        <v>39</v>
      </c>
      <c r="D945" s="1" t="s">
        <v>26</v>
      </c>
      <c r="E945" s="1" t="s">
        <v>71</v>
      </c>
      <c r="F945" s="1" t="s">
        <v>72</v>
      </c>
      <c r="G945" s="1" t="s">
        <v>29</v>
      </c>
      <c r="H945" s="1" t="s">
        <v>30</v>
      </c>
      <c r="I945" s="1" t="s">
        <v>53</v>
      </c>
      <c r="J945" s="1" t="s">
        <v>54</v>
      </c>
      <c r="K945" s="1" t="s">
        <v>46</v>
      </c>
      <c r="L945" s="2">
        <v>45982</v>
      </c>
      <c r="M945" s="2">
        <v>46017</v>
      </c>
      <c r="N945">
        <v>1888199</v>
      </c>
      <c r="O945">
        <v>22137</v>
      </c>
      <c r="P945">
        <v>1866062</v>
      </c>
      <c r="Q945" s="1" t="s">
        <v>34</v>
      </c>
      <c r="R945" s="1" t="s">
        <v>109</v>
      </c>
      <c r="S945" s="1" t="s">
        <v>37</v>
      </c>
      <c r="T945" s="1" t="s">
        <v>37</v>
      </c>
      <c r="U945">
        <v>3.9</v>
      </c>
      <c r="V945" t="s">
        <v>38</v>
      </c>
      <c r="W945">
        <v>12</v>
      </c>
      <c r="X945" s="1" t="s">
        <v>49</v>
      </c>
    </row>
    <row r="946" spans="1:24" x14ac:dyDescent="0.55000000000000004">
      <c r="A946" s="1" t="s">
        <v>1030</v>
      </c>
      <c r="B946" s="1" t="s">
        <v>81</v>
      </c>
      <c r="C946">
        <v>38</v>
      </c>
      <c r="D946" s="1" t="s">
        <v>42</v>
      </c>
      <c r="E946" s="1" t="s">
        <v>84</v>
      </c>
      <c r="F946" s="1" t="s">
        <v>85</v>
      </c>
      <c r="G946" s="1" t="s">
        <v>29</v>
      </c>
      <c r="H946" s="1" t="s">
        <v>30</v>
      </c>
      <c r="I946" s="1" t="s">
        <v>53</v>
      </c>
      <c r="J946" s="1" t="s">
        <v>54</v>
      </c>
      <c r="K946" s="1" t="s">
        <v>33</v>
      </c>
      <c r="L946" s="2">
        <v>45973</v>
      </c>
      <c r="M946" s="2">
        <v>45985</v>
      </c>
      <c r="N946">
        <v>1890804</v>
      </c>
      <c r="O946">
        <v>49083</v>
      </c>
      <c r="P946">
        <v>1841721</v>
      </c>
      <c r="Q946" s="1" t="s">
        <v>47</v>
      </c>
      <c r="R946" s="1" t="s">
        <v>48</v>
      </c>
      <c r="S946" s="1" t="s">
        <v>36</v>
      </c>
      <c r="T946" s="1" t="s">
        <v>37</v>
      </c>
      <c r="U946">
        <v>4.3</v>
      </c>
      <c r="V946" t="s">
        <v>56</v>
      </c>
      <c r="W946">
        <v>11</v>
      </c>
      <c r="X946" s="1" t="s">
        <v>60</v>
      </c>
    </row>
    <row r="947" spans="1:24" x14ac:dyDescent="0.55000000000000004">
      <c r="A947" s="1" t="s">
        <v>1031</v>
      </c>
      <c r="B947" s="1" t="s">
        <v>105</v>
      </c>
      <c r="C947">
        <v>49</v>
      </c>
      <c r="D947" s="1" t="s">
        <v>26</v>
      </c>
      <c r="E947" s="1" t="s">
        <v>43</v>
      </c>
      <c r="F947" s="1" t="s">
        <v>44</v>
      </c>
      <c r="G947" s="1" t="s">
        <v>29</v>
      </c>
      <c r="H947" s="1" t="s">
        <v>65</v>
      </c>
      <c r="I947" s="1" t="s">
        <v>53</v>
      </c>
      <c r="J947" s="1" t="s">
        <v>54</v>
      </c>
      <c r="K947" s="1" t="s">
        <v>33</v>
      </c>
      <c r="L947" s="2">
        <v>45924</v>
      </c>
      <c r="M947" s="2">
        <v>45940</v>
      </c>
      <c r="N947">
        <v>1601645</v>
      </c>
      <c r="O947">
        <v>51749</v>
      </c>
      <c r="P947">
        <v>1549896</v>
      </c>
      <c r="Q947" s="1" t="s">
        <v>78</v>
      </c>
      <c r="R947" s="1" t="s">
        <v>48</v>
      </c>
      <c r="S947" s="1" t="s">
        <v>36</v>
      </c>
      <c r="T947" s="1" t="s">
        <v>36</v>
      </c>
      <c r="U947">
        <v>4.0999999999999996</v>
      </c>
      <c r="V947" t="s">
        <v>56</v>
      </c>
      <c r="W947">
        <v>10</v>
      </c>
      <c r="X947" s="1" t="s">
        <v>75</v>
      </c>
    </row>
    <row r="948" spans="1:24" x14ac:dyDescent="0.55000000000000004">
      <c r="A948" s="1" t="s">
        <v>1032</v>
      </c>
      <c r="B948" s="1" t="s">
        <v>93</v>
      </c>
      <c r="C948">
        <v>43</v>
      </c>
      <c r="D948" s="1" t="s">
        <v>26</v>
      </c>
      <c r="E948" s="1" t="s">
        <v>71</v>
      </c>
      <c r="F948" s="1" t="s">
        <v>72</v>
      </c>
      <c r="G948" s="1" t="s">
        <v>29</v>
      </c>
      <c r="H948" s="1" t="s">
        <v>65</v>
      </c>
      <c r="I948" s="1" t="s">
        <v>45</v>
      </c>
      <c r="J948" s="1" t="s">
        <v>32</v>
      </c>
      <c r="K948" s="1" t="s">
        <v>33</v>
      </c>
      <c r="L948" s="2">
        <v>45943</v>
      </c>
      <c r="M948" s="2">
        <v>45968</v>
      </c>
      <c r="N948">
        <v>1304729</v>
      </c>
      <c r="O948">
        <v>99586</v>
      </c>
      <c r="P948">
        <v>1205143</v>
      </c>
      <c r="Q948" s="1" t="s">
        <v>55</v>
      </c>
      <c r="R948" s="1" t="s">
        <v>79</v>
      </c>
      <c r="S948" s="1" t="s">
        <v>36</v>
      </c>
      <c r="T948" s="1" t="s">
        <v>36</v>
      </c>
      <c r="U948">
        <v>4.5999999999999996</v>
      </c>
      <c r="V948" t="s">
        <v>38</v>
      </c>
      <c r="W948">
        <v>11</v>
      </c>
      <c r="X948" s="1" t="s">
        <v>60</v>
      </c>
    </row>
    <row r="949" spans="1:24" x14ac:dyDescent="0.55000000000000004">
      <c r="A949" s="1" t="s">
        <v>1033</v>
      </c>
      <c r="B949" s="1" t="s">
        <v>41</v>
      </c>
      <c r="C949">
        <v>28</v>
      </c>
      <c r="D949" s="1" t="s">
        <v>42</v>
      </c>
      <c r="E949" s="1" t="s">
        <v>52</v>
      </c>
      <c r="F949" s="1" t="s">
        <v>44</v>
      </c>
      <c r="G949" s="1" t="s">
        <v>29</v>
      </c>
      <c r="H949" s="1" t="s">
        <v>65</v>
      </c>
      <c r="I949" s="1" t="s">
        <v>53</v>
      </c>
      <c r="J949" s="1" t="s">
        <v>54</v>
      </c>
      <c r="K949" s="1" t="s">
        <v>46</v>
      </c>
      <c r="L949" s="2">
        <v>45810</v>
      </c>
      <c r="M949" s="2">
        <v>45842</v>
      </c>
      <c r="N949">
        <v>1705980</v>
      </c>
      <c r="O949">
        <v>94731</v>
      </c>
      <c r="P949">
        <v>1611249</v>
      </c>
      <c r="Q949" s="1" t="s">
        <v>55</v>
      </c>
      <c r="R949" s="1" t="s">
        <v>67</v>
      </c>
      <c r="S949" s="1" t="s">
        <v>36</v>
      </c>
      <c r="T949" s="1" t="s">
        <v>37</v>
      </c>
      <c r="U949">
        <v>3</v>
      </c>
      <c r="V949" t="s">
        <v>38</v>
      </c>
      <c r="W949">
        <v>7</v>
      </c>
      <c r="X949" s="1" t="s">
        <v>39</v>
      </c>
    </row>
    <row r="950" spans="1:24" x14ac:dyDescent="0.55000000000000004">
      <c r="A950" s="1" t="s">
        <v>1034</v>
      </c>
      <c r="B950" s="1" t="s">
        <v>51</v>
      </c>
      <c r="C950">
        <v>31</v>
      </c>
      <c r="D950" s="1" t="s">
        <v>26</v>
      </c>
      <c r="E950" s="1" t="s">
        <v>71</v>
      </c>
      <c r="F950" s="1" t="s">
        <v>72</v>
      </c>
      <c r="G950" s="1" t="s">
        <v>29</v>
      </c>
      <c r="H950" s="1" t="s">
        <v>77</v>
      </c>
      <c r="I950" s="1" t="s">
        <v>45</v>
      </c>
      <c r="J950" s="1" t="s">
        <v>32</v>
      </c>
      <c r="K950" s="1" t="s">
        <v>33</v>
      </c>
      <c r="L950" s="2">
        <v>45925</v>
      </c>
      <c r="M950" s="2">
        <v>45970</v>
      </c>
      <c r="N950">
        <v>1717858</v>
      </c>
      <c r="O950">
        <v>75345</v>
      </c>
      <c r="P950">
        <v>1642513</v>
      </c>
      <c r="Q950" s="1" t="s">
        <v>34</v>
      </c>
      <c r="R950" s="1" t="s">
        <v>109</v>
      </c>
      <c r="S950" s="1" t="s">
        <v>36</v>
      </c>
      <c r="T950" s="1" t="s">
        <v>36</v>
      </c>
      <c r="U950">
        <v>3</v>
      </c>
      <c r="V950" t="s">
        <v>38</v>
      </c>
      <c r="W950">
        <v>11</v>
      </c>
      <c r="X950" s="1" t="s">
        <v>60</v>
      </c>
    </row>
    <row r="951" spans="1:24" x14ac:dyDescent="0.55000000000000004">
      <c r="A951" s="1" t="s">
        <v>1035</v>
      </c>
      <c r="B951" s="1" t="s">
        <v>93</v>
      </c>
      <c r="C951">
        <v>43</v>
      </c>
      <c r="D951" s="1" t="s">
        <v>42</v>
      </c>
      <c r="E951" s="1" t="s">
        <v>43</v>
      </c>
      <c r="F951" s="1" t="s">
        <v>44</v>
      </c>
      <c r="G951" s="1" t="s">
        <v>29</v>
      </c>
      <c r="H951" s="1" t="s">
        <v>77</v>
      </c>
      <c r="I951" s="1" t="s">
        <v>31</v>
      </c>
      <c r="J951" s="1" t="s">
        <v>54</v>
      </c>
      <c r="K951" s="1" t="s">
        <v>46</v>
      </c>
      <c r="L951" s="2">
        <v>45672</v>
      </c>
      <c r="M951" s="2">
        <v>45701</v>
      </c>
      <c r="N951">
        <v>1779517</v>
      </c>
      <c r="O951">
        <v>67394</v>
      </c>
      <c r="P951">
        <v>1712123</v>
      </c>
      <c r="Q951" s="1" t="s">
        <v>55</v>
      </c>
      <c r="R951" s="1" t="s">
        <v>35</v>
      </c>
      <c r="S951" s="1" t="s">
        <v>36</v>
      </c>
      <c r="T951" s="1" t="s">
        <v>36</v>
      </c>
      <c r="U951">
        <v>4.8</v>
      </c>
      <c r="V951" t="s">
        <v>38</v>
      </c>
      <c r="W951">
        <v>2</v>
      </c>
      <c r="X951" s="1" t="s">
        <v>107</v>
      </c>
    </row>
    <row r="952" spans="1:24" x14ac:dyDescent="0.55000000000000004">
      <c r="A952" s="1" t="s">
        <v>1036</v>
      </c>
      <c r="B952" s="1" t="s">
        <v>41</v>
      </c>
      <c r="C952">
        <v>44</v>
      </c>
      <c r="D952" s="1" t="s">
        <v>26</v>
      </c>
      <c r="E952" s="1" t="s">
        <v>90</v>
      </c>
      <c r="F952" s="1" t="s">
        <v>44</v>
      </c>
      <c r="G952" s="1" t="s">
        <v>29</v>
      </c>
      <c r="H952" s="1" t="s">
        <v>77</v>
      </c>
      <c r="I952" s="1" t="s">
        <v>74</v>
      </c>
      <c r="J952" s="1" t="s">
        <v>32</v>
      </c>
      <c r="K952" s="1" t="s">
        <v>33</v>
      </c>
      <c r="L952" s="2">
        <v>45745</v>
      </c>
      <c r="M952" s="2">
        <v>45765</v>
      </c>
      <c r="N952">
        <v>1732544</v>
      </c>
      <c r="O952">
        <v>60887</v>
      </c>
      <c r="P952">
        <v>1671657</v>
      </c>
      <c r="Q952" s="1" t="s">
        <v>78</v>
      </c>
      <c r="R952" s="1" t="s">
        <v>109</v>
      </c>
      <c r="S952" s="1" t="s">
        <v>36</v>
      </c>
      <c r="T952" s="1" t="s">
        <v>37</v>
      </c>
      <c r="U952">
        <v>4.5</v>
      </c>
      <c r="V952" t="s">
        <v>56</v>
      </c>
      <c r="W952">
        <v>4</v>
      </c>
      <c r="X952" s="1" t="s">
        <v>63</v>
      </c>
    </row>
    <row r="953" spans="1:24" x14ac:dyDescent="0.55000000000000004">
      <c r="A953" s="1" t="s">
        <v>1037</v>
      </c>
      <c r="B953" s="1" t="s">
        <v>93</v>
      </c>
      <c r="C953">
        <v>60</v>
      </c>
      <c r="D953" s="1" t="s">
        <v>42</v>
      </c>
      <c r="E953" s="1" t="s">
        <v>90</v>
      </c>
      <c r="F953" s="1" t="s">
        <v>44</v>
      </c>
      <c r="G953" s="1" t="s">
        <v>29</v>
      </c>
      <c r="H953" s="1" t="s">
        <v>65</v>
      </c>
      <c r="I953" s="1" t="s">
        <v>59</v>
      </c>
      <c r="J953" s="1" t="s">
        <v>32</v>
      </c>
      <c r="K953" s="1" t="s">
        <v>46</v>
      </c>
      <c r="L953" s="2">
        <v>46006</v>
      </c>
      <c r="M953" s="2">
        <v>46029</v>
      </c>
      <c r="N953">
        <v>1820736</v>
      </c>
      <c r="O953">
        <v>66715</v>
      </c>
      <c r="P953">
        <v>1754021</v>
      </c>
      <c r="Q953" s="1" t="s">
        <v>47</v>
      </c>
      <c r="R953" s="1" t="s">
        <v>48</v>
      </c>
      <c r="S953" s="1" t="s">
        <v>37</v>
      </c>
      <c r="T953" s="1" t="s">
        <v>37</v>
      </c>
      <c r="U953">
        <v>4.4000000000000004</v>
      </c>
      <c r="V953" t="s">
        <v>38</v>
      </c>
      <c r="W953">
        <v>1</v>
      </c>
      <c r="X953" s="1" t="s">
        <v>88</v>
      </c>
    </row>
    <row r="954" spans="1:24" x14ac:dyDescent="0.55000000000000004">
      <c r="A954" s="1" t="s">
        <v>1038</v>
      </c>
      <c r="B954" s="1" t="s">
        <v>62</v>
      </c>
      <c r="C954">
        <v>41</v>
      </c>
      <c r="D954" s="1" t="s">
        <v>42</v>
      </c>
      <c r="E954" s="1" t="s">
        <v>52</v>
      </c>
      <c r="F954" s="1" t="s">
        <v>44</v>
      </c>
      <c r="G954" s="1" t="s">
        <v>29</v>
      </c>
      <c r="H954" s="1" t="s">
        <v>30</v>
      </c>
      <c r="I954" s="1" t="s">
        <v>53</v>
      </c>
      <c r="J954" s="1" t="s">
        <v>54</v>
      </c>
      <c r="K954" s="1" t="s">
        <v>46</v>
      </c>
      <c r="L954" s="2">
        <v>45757</v>
      </c>
      <c r="M954" s="2">
        <v>45796</v>
      </c>
      <c r="N954">
        <v>1721559</v>
      </c>
      <c r="O954">
        <v>41757</v>
      </c>
      <c r="P954">
        <v>1679802</v>
      </c>
      <c r="Q954" s="1" t="s">
        <v>66</v>
      </c>
      <c r="R954" s="1" t="s">
        <v>79</v>
      </c>
      <c r="S954" s="1" t="s">
        <v>37</v>
      </c>
      <c r="T954" s="1" t="s">
        <v>36</v>
      </c>
      <c r="U954">
        <v>4.8</v>
      </c>
      <c r="V954" t="s">
        <v>38</v>
      </c>
      <c r="W954">
        <v>5</v>
      </c>
      <c r="X954" s="1" t="s">
        <v>86</v>
      </c>
    </row>
    <row r="955" spans="1:24" x14ac:dyDescent="0.55000000000000004">
      <c r="A955" s="1" t="s">
        <v>1039</v>
      </c>
      <c r="B955" s="1" t="s">
        <v>105</v>
      </c>
      <c r="C955">
        <v>33</v>
      </c>
      <c r="D955" s="1" t="s">
        <v>26</v>
      </c>
      <c r="E955" s="1" t="s">
        <v>71</v>
      </c>
      <c r="F955" s="1" t="s">
        <v>72</v>
      </c>
      <c r="G955" s="1" t="s">
        <v>29</v>
      </c>
      <c r="H955" s="1" t="s">
        <v>65</v>
      </c>
      <c r="I955" s="1" t="s">
        <v>74</v>
      </c>
      <c r="J955" s="1" t="s">
        <v>32</v>
      </c>
      <c r="K955" s="1" t="s">
        <v>46</v>
      </c>
      <c r="L955" s="2">
        <v>45745</v>
      </c>
      <c r="M955" s="2">
        <v>45775</v>
      </c>
      <c r="N955">
        <v>1643569</v>
      </c>
      <c r="O955">
        <v>75600</v>
      </c>
      <c r="P955">
        <v>1567969</v>
      </c>
      <c r="Q955" s="1" t="s">
        <v>34</v>
      </c>
      <c r="R955" s="1" t="s">
        <v>35</v>
      </c>
      <c r="S955" s="1" t="s">
        <v>37</v>
      </c>
      <c r="T955" s="1" t="s">
        <v>36</v>
      </c>
      <c r="U955">
        <v>3.6</v>
      </c>
      <c r="V955" t="s">
        <v>38</v>
      </c>
      <c r="W955">
        <v>4</v>
      </c>
      <c r="X955" s="1" t="s">
        <v>63</v>
      </c>
    </row>
    <row r="956" spans="1:24" x14ac:dyDescent="0.55000000000000004">
      <c r="A956" s="1" t="s">
        <v>1040</v>
      </c>
      <c r="B956" s="1" t="s">
        <v>105</v>
      </c>
      <c r="C956">
        <v>41</v>
      </c>
      <c r="D956" s="1" t="s">
        <v>26</v>
      </c>
      <c r="E956" s="1" t="s">
        <v>52</v>
      </c>
      <c r="F956" s="1" t="s">
        <v>44</v>
      </c>
      <c r="G956" s="1" t="s">
        <v>29</v>
      </c>
      <c r="H956" s="1" t="s">
        <v>30</v>
      </c>
      <c r="I956" s="1" t="s">
        <v>74</v>
      </c>
      <c r="J956" s="1" t="s">
        <v>32</v>
      </c>
      <c r="K956" s="1" t="s">
        <v>33</v>
      </c>
      <c r="L956" s="2">
        <v>45678</v>
      </c>
      <c r="M956" s="2">
        <v>45691</v>
      </c>
      <c r="N956">
        <v>1887540</v>
      </c>
      <c r="O956">
        <v>38739</v>
      </c>
      <c r="P956">
        <v>1848801</v>
      </c>
      <c r="Q956" s="1" t="s">
        <v>47</v>
      </c>
      <c r="R956" s="1" t="s">
        <v>79</v>
      </c>
      <c r="S956" s="1" t="s">
        <v>37</v>
      </c>
      <c r="T956" s="1" t="s">
        <v>36</v>
      </c>
      <c r="U956">
        <v>3.5</v>
      </c>
      <c r="V956" t="s">
        <v>56</v>
      </c>
      <c r="W956">
        <v>2</v>
      </c>
      <c r="X956" s="1" t="s">
        <v>107</v>
      </c>
    </row>
    <row r="957" spans="1:24" x14ac:dyDescent="0.55000000000000004">
      <c r="A957" s="1" t="s">
        <v>1041</v>
      </c>
      <c r="B957" s="1" t="s">
        <v>98</v>
      </c>
      <c r="C957">
        <v>44</v>
      </c>
      <c r="D957" s="1" t="s">
        <v>26</v>
      </c>
      <c r="E957" s="1" t="s">
        <v>43</v>
      </c>
      <c r="F957" s="1" t="s">
        <v>44</v>
      </c>
      <c r="G957" s="1" t="s">
        <v>29</v>
      </c>
      <c r="H957" s="1" t="s">
        <v>30</v>
      </c>
      <c r="I957" s="1" t="s">
        <v>74</v>
      </c>
      <c r="J957" s="1" t="s">
        <v>54</v>
      </c>
      <c r="K957" s="1" t="s">
        <v>33</v>
      </c>
      <c r="L957" s="2">
        <v>46107</v>
      </c>
      <c r="M957" s="2">
        <v>46139</v>
      </c>
      <c r="N957">
        <v>1512319</v>
      </c>
      <c r="O957">
        <v>23541</v>
      </c>
      <c r="P957">
        <v>1488778</v>
      </c>
      <c r="Q957" s="1" t="s">
        <v>55</v>
      </c>
      <c r="R957" s="1" t="s">
        <v>79</v>
      </c>
      <c r="S957" s="1" t="s">
        <v>37</v>
      </c>
      <c r="T957" s="1" t="s">
        <v>36</v>
      </c>
      <c r="U957">
        <v>4.9000000000000004</v>
      </c>
      <c r="V957" t="s">
        <v>38</v>
      </c>
      <c r="W957">
        <v>4</v>
      </c>
      <c r="X957" s="1" t="s">
        <v>63</v>
      </c>
    </row>
    <row r="958" spans="1:24" x14ac:dyDescent="0.55000000000000004">
      <c r="A958" s="1" t="s">
        <v>1042</v>
      </c>
      <c r="B958" s="1" t="s">
        <v>41</v>
      </c>
      <c r="C958">
        <v>41</v>
      </c>
      <c r="D958" s="1" t="s">
        <v>42</v>
      </c>
      <c r="E958" s="1" t="s">
        <v>71</v>
      </c>
      <c r="F958" s="1" t="s">
        <v>72</v>
      </c>
      <c r="G958" s="1" t="s">
        <v>29</v>
      </c>
      <c r="H958" s="1" t="s">
        <v>65</v>
      </c>
      <c r="I958" s="1" t="s">
        <v>74</v>
      </c>
      <c r="J958" s="1" t="s">
        <v>32</v>
      </c>
      <c r="K958" s="1" t="s">
        <v>33</v>
      </c>
      <c r="L958" s="2">
        <v>45897</v>
      </c>
      <c r="M958" s="2">
        <v>45913</v>
      </c>
      <c r="N958">
        <v>1448461</v>
      </c>
      <c r="O958">
        <v>77707</v>
      </c>
      <c r="P958">
        <v>1370754</v>
      </c>
      <c r="Q958" s="1" t="s">
        <v>78</v>
      </c>
      <c r="R958" s="1" t="s">
        <v>35</v>
      </c>
      <c r="S958" s="1" t="s">
        <v>36</v>
      </c>
      <c r="T958" s="1" t="s">
        <v>37</v>
      </c>
      <c r="U958">
        <v>3.4</v>
      </c>
      <c r="V958" t="s">
        <v>56</v>
      </c>
      <c r="W958">
        <v>9</v>
      </c>
      <c r="X958" s="1" t="s">
        <v>103</v>
      </c>
    </row>
    <row r="959" spans="1:24" x14ac:dyDescent="0.55000000000000004">
      <c r="A959" s="1" t="s">
        <v>1043</v>
      </c>
      <c r="B959" s="1" t="s">
        <v>51</v>
      </c>
      <c r="C959">
        <v>60</v>
      </c>
      <c r="D959" s="1" t="s">
        <v>26</v>
      </c>
      <c r="E959" s="1" t="s">
        <v>84</v>
      </c>
      <c r="F959" s="1" t="s">
        <v>85</v>
      </c>
      <c r="G959" s="1" t="s">
        <v>29</v>
      </c>
      <c r="H959" s="1" t="s">
        <v>77</v>
      </c>
      <c r="I959" s="1" t="s">
        <v>53</v>
      </c>
      <c r="J959" s="1" t="s">
        <v>54</v>
      </c>
      <c r="K959" s="1" t="s">
        <v>33</v>
      </c>
      <c r="L959" s="2">
        <v>45837</v>
      </c>
      <c r="M959" s="2">
        <v>45869</v>
      </c>
      <c r="N959">
        <v>1403516</v>
      </c>
      <c r="O959">
        <v>93969</v>
      </c>
      <c r="P959">
        <v>1309547</v>
      </c>
      <c r="Q959" s="1" t="s">
        <v>66</v>
      </c>
      <c r="R959" s="1" t="s">
        <v>109</v>
      </c>
      <c r="S959" s="1" t="s">
        <v>37</v>
      </c>
      <c r="T959" s="1" t="s">
        <v>37</v>
      </c>
      <c r="U959">
        <v>3.4</v>
      </c>
      <c r="V959" t="s">
        <v>38</v>
      </c>
      <c r="W959">
        <v>7</v>
      </c>
      <c r="X959" s="1" t="s">
        <v>39</v>
      </c>
    </row>
    <row r="960" spans="1:24" x14ac:dyDescent="0.55000000000000004">
      <c r="A960" s="1" t="s">
        <v>1044</v>
      </c>
      <c r="B960" s="1" t="s">
        <v>51</v>
      </c>
      <c r="C960">
        <v>35</v>
      </c>
      <c r="D960" s="1" t="s">
        <v>42</v>
      </c>
      <c r="E960" s="1" t="s">
        <v>43</v>
      </c>
      <c r="F960" s="1" t="s">
        <v>44</v>
      </c>
      <c r="G960" s="1" t="s">
        <v>29</v>
      </c>
      <c r="H960" s="1" t="s">
        <v>65</v>
      </c>
      <c r="I960" s="1" t="s">
        <v>53</v>
      </c>
      <c r="J960" s="1" t="s">
        <v>54</v>
      </c>
      <c r="K960" s="1" t="s">
        <v>46</v>
      </c>
      <c r="L960" s="2">
        <v>46162</v>
      </c>
      <c r="M960" s="2">
        <v>46185</v>
      </c>
      <c r="N960">
        <v>1306328</v>
      </c>
      <c r="O960">
        <v>40906</v>
      </c>
      <c r="P960">
        <v>1265422</v>
      </c>
      <c r="Q960" s="1" t="s">
        <v>47</v>
      </c>
      <c r="R960" s="1" t="s">
        <v>35</v>
      </c>
      <c r="S960" s="1" t="s">
        <v>37</v>
      </c>
      <c r="T960" s="1" t="s">
        <v>36</v>
      </c>
      <c r="U960">
        <v>4.4000000000000004</v>
      </c>
      <c r="V960" t="s">
        <v>38</v>
      </c>
      <c r="W960">
        <v>6</v>
      </c>
      <c r="X960" s="1" t="s">
        <v>68</v>
      </c>
    </row>
    <row r="961" spans="1:24" x14ac:dyDescent="0.55000000000000004">
      <c r="A961" s="1" t="s">
        <v>1045</v>
      </c>
      <c r="B961" s="1" t="s">
        <v>51</v>
      </c>
      <c r="C961">
        <v>36</v>
      </c>
      <c r="D961" s="1" t="s">
        <v>26</v>
      </c>
      <c r="E961" s="1" t="s">
        <v>90</v>
      </c>
      <c r="F961" s="1" t="s">
        <v>44</v>
      </c>
      <c r="G961" s="1" t="s">
        <v>29</v>
      </c>
      <c r="H961" s="1" t="s">
        <v>65</v>
      </c>
      <c r="I961" s="1" t="s">
        <v>45</v>
      </c>
      <c r="J961" s="1" t="s">
        <v>32</v>
      </c>
      <c r="K961" s="1" t="s">
        <v>46</v>
      </c>
      <c r="L961" s="2">
        <v>45960</v>
      </c>
      <c r="M961" s="2">
        <v>46004</v>
      </c>
      <c r="N961">
        <v>1826725</v>
      </c>
      <c r="O961">
        <v>89316</v>
      </c>
      <c r="P961">
        <v>1737409</v>
      </c>
      <c r="Q961" s="1" t="s">
        <v>47</v>
      </c>
      <c r="R961" s="1" t="s">
        <v>48</v>
      </c>
      <c r="S961" s="1" t="s">
        <v>36</v>
      </c>
      <c r="T961" s="1" t="s">
        <v>36</v>
      </c>
      <c r="U961">
        <v>4.5999999999999996</v>
      </c>
      <c r="V961" t="s">
        <v>38</v>
      </c>
      <c r="W961">
        <v>12</v>
      </c>
      <c r="X961" s="1" t="s">
        <v>49</v>
      </c>
    </row>
    <row r="962" spans="1:24" x14ac:dyDescent="0.55000000000000004">
      <c r="A962" s="1" t="s">
        <v>1046</v>
      </c>
      <c r="B962" s="1" t="s">
        <v>70</v>
      </c>
      <c r="C962">
        <v>28</v>
      </c>
      <c r="D962" s="1" t="s">
        <v>42</v>
      </c>
      <c r="E962" s="1" t="s">
        <v>71</v>
      </c>
      <c r="F962" s="1" t="s">
        <v>72</v>
      </c>
      <c r="G962" s="1" t="s">
        <v>29</v>
      </c>
      <c r="H962" s="1" t="s">
        <v>65</v>
      </c>
      <c r="I962" s="1" t="s">
        <v>31</v>
      </c>
      <c r="J962" s="1" t="s">
        <v>32</v>
      </c>
      <c r="K962" s="1" t="s">
        <v>46</v>
      </c>
      <c r="L962" s="2">
        <v>46146</v>
      </c>
      <c r="M962" s="2">
        <v>46153</v>
      </c>
      <c r="N962">
        <v>1423602</v>
      </c>
      <c r="O962">
        <v>70085</v>
      </c>
      <c r="P962">
        <v>1353517</v>
      </c>
      <c r="Q962" s="1" t="s">
        <v>47</v>
      </c>
      <c r="R962" s="1" t="s">
        <v>35</v>
      </c>
      <c r="S962" s="1" t="s">
        <v>36</v>
      </c>
      <c r="T962" s="1" t="s">
        <v>37</v>
      </c>
      <c r="U962">
        <v>4.5</v>
      </c>
      <c r="V962" t="s">
        <v>91</v>
      </c>
      <c r="W962">
        <v>5</v>
      </c>
      <c r="X962" s="1" t="s">
        <v>86</v>
      </c>
    </row>
    <row r="963" spans="1:24" x14ac:dyDescent="0.55000000000000004">
      <c r="A963" s="1" t="s">
        <v>1047</v>
      </c>
      <c r="B963" s="1" t="s">
        <v>81</v>
      </c>
      <c r="C963">
        <v>51</v>
      </c>
      <c r="D963" s="1" t="s">
        <v>26</v>
      </c>
      <c r="E963" s="1" t="s">
        <v>43</v>
      </c>
      <c r="F963" s="1" t="s">
        <v>44</v>
      </c>
      <c r="G963" s="1" t="s">
        <v>29</v>
      </c>
      <c r="H963" s="1" t="s">
        <v>65</v>
      </c>
      <c r="I963" s="1" t="s">
        <v>31</v>
      </c>
      <c r="J963" s="1" t="s">
        <v>32</v>
      </c>
      <c r="K963" s="1" t="s">
        <v>46</v>
      </c>
      <c r="L963" s="2">
        <v>46095</v>
      </c>
      <c r="M963" s="2">
        <v>46123</v>
      </c>
      <c r="N963">
        <v>1385824</v>
      </c>
      <c r="O963">
        <v>15967</v>
      </c>
      <c r="P963">
        <v>1369857</v>
      </c>
      <c r="Q963" s="1" t="s">
        <v>47</v>
      </c>
      <c r="R963" s="1" t="s">
        <v>67</v>
      </c>
      <c r="S963" s="1" t="s">
        <v>36</v>
      </c>
      <c r="T963" s="1" t="s">
        <v>37</v>
      </c>
      <c r="U963">
        <v>4.7</v>
      </c>
      <c r="V963" t="s">
        <v>38</v>
      </c>
      <c r="W963">
        <v>4</v>
      </c>
      <c r="X963" s="1" t="s">
        <v>63</v>
      </c>
    </row>
    <row r="964" spans="1:24" x14ac:dyDescent="0.55000000000000004">
      <c r="A964" s="1" t="s">
        <v>1048</v>
      </c>
      <c r="B964" s="1" t="s">
        <v>105</v>
      </c>
      <c r="C964">
        <v>43</v>
      </c>
      <c r="D964" s="1" t="s">
        <v>42</v>
      </c>
      <c r="E964" s="1" t="s">
        <v>27</v>
      </c>
      <c r="F964" s="1" t="s">
        <v>28</v>
      </c>
      <c r="G964" s="1" t="s">
        <v>29</v>
      </c>
      <c r="H964" s="1" t="s">
        <v>30</v>
      </c>
      <c r="I964" s="1" t="s">
        <v>74</v>
      </c>
      <c r="J964" s="1" t="s">
        <v>54</v>
      </c>
      <c r="K964" s="1" t="s">
        <v>46</v>
      </c>
      <c r="L964" s="2">
        <v>46134</v>
      </c>
      <c r="M964" s="2">
        <v>46154</v>
      </c>
      <c r="N964">
        <v>1563100</v>
      </c>
      <c r="O964">
        <v>52333</v>
      </c>
      <c r="P964">
        <v>1510767</v>
      </c>
      <c r="Q964" s="1" t="s">
        <v>55</v>
      </c>
      <c r="R964" s="1" t="s">
        <v>48</v>
      </c>
      <c r="S964" s="1" t="s">
        <v>36</v>
      </c>
      <c r="T964" s="1" t="s">
        <v>37</v>
      </c>
      <c r="U964">
        <v>4.5999999999999996</v>
      </c>
      <c r="V964" t="s">
        <v>56</v>
      </c>
      <c r="W964">
        <v>5</v>
      </c>
      <c r="X964" s="1" t="s">
        <v>86</v>
      </c>
    </row>
    <row r="965" spans="1:24" x14ac:dyDescent="0.55000000000000004">
      <c r="A965" s="1" t="s">
        <v>1049</v>
      </c>
      <c r="B965" s="1" t="s">
        <v>98</v>
      </c>
      <c r="C965">
        <v>34</v>
      </c>
      <c r="D965" s="1" t="s">
        <v>26</v>
      </c>
      <c r="E965" s="1" t="s">
        <v>71</v>
      </c>
      <c r="F965" s="1" t="s">
        <v>72</v>
      </c>
      <c r="G965" s="1" t="s">
        <v>29</v>
      </c>
      <c r="H965" s="1" t="s">
        <v>30</v>
      </c>
      <c r="I965" s="1" t="s">
        <v>45</v>
      </c>
      <c r="J965" s="1" t="s">
        <v>54</v>
      </c>
      <c r="K965" s="1" t="s">
        <v>33</v>
      </c>
      <c r="L965" s="2">
        <v>45688</v>
      </c>
      <c r="M965" s="2">
        <v>45728</v>
      </c>
      <c r="N965">
        <v>1563866</v>
      </c>
      <c r="O965">
        <v>22021</v>
      </c>
      <c r="P965">
        <v>1541845</v>
      </c>
      <c r="Q965" s="1" t="s">
        <v>55</v>
      </c>
      <c r="R965" s="1" t="s">
        <v>48</v>
      </c>
      <c r="S965" s="1" t="s">
        <v>36</v>
      </c>
      <c r="T965" s="1" t="s">
        <v>37</v>
      </c>
      <c r="U965">
        <v>3.9</v>
      </c>
      <c r="V965" t="s">
        <v>38</v>
      </c>
      <c r="W965">
        <v>3</v>
      </c>
      <c r="X965" s="1" t="s">
        <v>96</v>
      </c>
    </row>
    <row r="966" spans="1:24" x14ac:dyDescent="0.55000000000000004">
      <c r="A966" s="1" t="s">
        <v>1050</v>
      </c>
      <c r="B966" s="1" t="s">
        <v>98</v>
      </c>
      <c r="C966">
        <v>37</v>
      </c>
      <c r="D966" s="1" t="s">
        <v>42</v>
      </c>
      <c r="E966" s="1" t="s">
        <v>52</v>
      </c>
      <c r="F966" s="1" t="s">
        <v>44</v>
      </c>
      <c r="G966" s="1" t="s">
        <v>29</v>
      </c>
      <c r="H966" s="1" t="s">
        <v>30</v>
      </c>
      <c r="I966" s="1" t="s">
        <v>45</v>
      </c>
      <c r="J966" s="1" t="s">
        <v>32</v>
      </c>
      <c r="K966" s="1" t="s">
        <v>33</v>
      </c>
      <c r="L966" s="2">
        <v>46174</v>
      </c>
      <c r="M966" s="2">
        <v>46196</v>
      </c>
      <c r="N966">
        <v>1812506</v>
      </c>
      <c r="O966">
        <v>92991</v>
      </c>
      <c r="P966">
        <v>1719515</v>
      </c>
      <c r="Q966" s="1" t="s">
        <v>66</v>
      </c>
      <c r="R966" s="1" t="s">
        <v>79</v>
      </c>
      <c r="S966" s="1" t="s">
        <v>36</v>
      </c>
      <c r="T966" s="1" t="s">
        <v>37</v>
      </c>
      <c r="U966">
        <v>3.4</v>
      </c>
      <c r="V966" t="s">
        <v>38</v>
      </c>
      <c r="W966">
        <v>6</v>
      </c>
      <c r="X966" s="1" t="s">
        <v>68</v>
      </c>
    </row>
    <row r="967" spans="1:24" x14ac:dyDescent="0.55000000000000004">
      <c r="A967" s="1" t="s">
        <v>1051</v>
      </c>
      <c r="B967" s="1" t="s">
        <v>70</v>
      </c>
      <c r="C967">
        <v>55</v>
      </c>
      <c r="D967" s="1" t="s">
        <v>26</v>
      </c>
      <c r="E967" s="1" t="s">
        <v>90</v>
      </c>
      <c r="F967" s="1" t="s">
        <v>44</v>
      </c>
      <c r="G967" s="1" t="s">
        <v>29</v>
      </c>
      <c r="H967" s="1" t="s">
        <v>30</v>
      </c>
      <c r="I967" s="1" t="s">
        <v>59</v>
      </c>
      <c r="J967" s="1" t="s">
        <v>54</v>
      </c>
      <c r="K967" s="1" t="s">
        <v>46</v>
      </c>
      <c r="L967" s="2">
        <v>45882</v>
      </c>
      <c r="M967" s="2">
        <v>45907</v>
      </c>
      <c r="N967">
        <v>1812335</v>
      </c>
      <c r="O967">
        <v>15948</v>
      </c>
      <c r="P967">
        <v>1796387</v>
      </c>
      <c r="Q967" s="1" t="s">
        <v>78</v>
      </c>
      <c r="R967" s="1" t="s">
        <v>35</v>
      </c>
      <c r="S967" s="1" t="s">
        <v>36</v>
      </c>
      <c r="T967" s="1" t="s">
        <v>36</v>
      </c>
      <c r="U967">
        <v>3.4</v>
      </c>
      <c r="V967" t="s">
        <v>38</v>
      </c>
      <c r="W967">
        <v>9</v>
      </c>
      <c r="X967" s="1" t="s">
        <v>103</v>
      </c>
    </row>
    <row r="968" spans="1:24" x14ac:dyDescent="0.55000000000000004">
      <c r="A968" s="1" t="s">
        <v>1052</v>
      </c>
      <c r="B968" s="1" t="s">
        <v>62</v>
      </c>
      <c r="C968">
        <v>33</v>
      </c>
      <c r="D968" s="1" t="s">
        <v>42</v>
      </c>
      <c r="E968" s="1" t="s">
        <v>52</v>
      </c>
      <c r="F968" s="1" t="s">
        <v>44</v>
      </c>
      <c r="G968" s="1" t="s">
        <v>29</v>
      </c>
      <c r="H968" s="1" t="s">
        <v>30</v>
      </c>
      <c r="I968" s="1" t="s">
        <v>45</v>
      </c>
      <c r="J968" s="1" t="s">
        <v>54</v>
      </c>
      <c r="K968" s="1" t="s">
        <v>33</v>
      </c>
      <c r="L968" s="2">
        <v>45930</v>
      </c>
      <c r="M968" s="2">
        <v>45954</v>
      </c>
      <c r="N968">
        <v>1814038</v>
      </c>
      <c r="O968">
        <v>15029</v>
      </c>
      <c r="P968">
        <v>1799009</v>
      </c>
      <c r="Q968" s="1" t="s">
        <v>78</v>
      </c>
      <c r="R968" s="1" t="s">
        <v>48</v>
      </c>
      <c r="S968" s="1" t="s">
        <v>36</v>
      </c>
      <c r="T968" s="1" t="s">
        <v>37</v>
      </c>
      <c r="U968">
        <v>4.4000000000000004</v>
      </c>
      <c r="V968" t="s">
        <v>38</v>
      </c>
      <c r="W968">
        <v>10</v>
      </c>
      <c r="X968" s="1" t="s">
        <v>75</v>
      </c>
    </row>
    <row r="969" spans="1:24" x14ac:dyDescent="0.55000000000000004">
      <c r="A969" s="1" t="s">
        <v>1053</v>
      </c>
      <c r="B969" s="1" t="s">
        <v>51</v>
      </c>
      <c r="C969">
        <v>42</v>
      </c>
      <c r="D969" s="1" t="s">
        <v>42</v>
      </c>
      <c r="E969" s="1" t="s">
        <v>90</v>
      </c>
      <c r="F969" s="1" t="s">
        <v>44</v>
      </c>
      <c r="G969" s="1" t="s">
        <v>29</v>
      </c>
      <c r="H969" s="1" t="s">
        <v>77</v>
      </c>
      <c r="I969" s="1" t="s">
        <v>31</v>
      </c>
      <c r="J969" s="1" t="s">
        <v>32</v>
      </c>
      <c r="K969" s="1" t="s">
        <v>33</v>
      </c>
      <c r="L969" s="2">
        <v>45972</v>
      </c>
      <c r="M969" s="2">
        <v>45995</v>
      </c>
      <c r="N969">
        <v>1347309</v>
      </c>
      <c r="O969">
        <v>69754</v>
      </c>
      <c r="P969">
        <v>1277555</v>
      </c>
      <c r="Q969" s="1" t="s">
        <v>47</v>
      </c>
      <c r="R969" s="1" t="s">
        <v>67</v>
      </c>
      <c r="S969" s="1" t="s">
        <v>37</v>
      </c>
      <c r="T969" s="1" t="s">
        <v>36</v>
      </c>
      <c r="U969">
        <v>4.7</v>
      </c>
      <c r="V969" t="s">
        <v>38</v>
      </c>
      <c r="W969">
        <v>12</v>
      </c>
      <c r="X969" s="1" t="s">
        <v>49</v>
      </c>
    </row>
    <row r="970" spans="1:24" x14ac:dyDescent="0.55000000000000004">
      <c r="A970" s="1" t="s">
        <v>1054</v>
      </c>
      <c r="B970" s="1" t="s">
        <v>83</v>
      </c>
      <c r="C970">
        <v>28</v>
      </c>
      <c r="D970" s="1" t="s">
        <v>42</v>
      </c>
      <c r="E970" s="1" t="s">
        <v>27</v>
      </c>
      <c r="F970" s="1" t="s">
        <v>28</v>
      </c>
      <c r="G970" s="1" t="s">
        <v>29</v>
      </c>
      <c r="H970" s="1" t="s">
        <v>77</v>
      </c>
      <c r="I970" s="1" t="s">
        <v>53</v>
      </c>
      <c r="J970" s="1" t="s">
        <v>54</v>
      </c>
      <c r="K970" s="1" t="s">
        <v>33</v>
      </c>
      <c r="L970" s="2">
        <v>45739</v>
      </c>
      <c r="M970" s="2">
        <v>45774</v>
      </c>
      <c r="N970">
        <v>1525911</v>
      </c>
      <c r="O970">
        <v>26754</v>
      </c>
      <c r="P970">
        <v>1499157</v>
      </c>
      <c r="Q970" s="1" t="s">
        <v>34</v>
      </c>
      <c r="R970" s="1" t="s">
        <v>35</v>
      </c>
      <c r="S970" s="1" t="s">
        <v>37</v>
      </c>
      <c r="T970" s="1" t="s">
        <v>36</v>
      </c>
      <c r="U970">
        <v>3.6</v>
      </c>
      <c r="V970" t="s">
        <v>38</v>
      </c>
      <c r="W970">
        <v>4</v>
      </c>
      <c r="X970" s="1" t="s">
        <v>63</v>
      </c>
    </row>
    <row r="971" spans="1:24" x14ac:dyDescent="0.55000000000000004">
      <c r="A971" s="1" t="s">
        <v>1055</v>
      </c>
      <c r="B971" s="1" t="s">
        <v>25</v>
      </c>
      <c r="C971">
        <v>25</v>
      </c>
      <c r="D971" s="1" t="s">
        <v>26</v>
      </c>
      <c r="E971" s="1" t="s">
        <v>90</v>
      </c>
      <c r="F971" s="1" t="s">
        <v>44</v>
      </c>
      <c r="G971" s="1" t="s">
        <v>29</v>
      </c>
      <c r="H971" s="1" t="s">
        <v>65</v>
      </c>
      <c r="I971" s="1" t="s">
        <v>31</v>
      </c>
      <c r="J971" s="1" t="s">
        <v>54</v>
      </c>
      <c r="K971" s="1" t="s">
        <v>33</v>
      </c>
      <c r="L971" s="2">
        <v>45854</v>
      </c>
      <c r="M971" s="2">
        <v>45881</v>
      </c>
      <c r="N971">
        <v>1557499</v>
      </c>
      <c r="O971">
        <v>35353</v>
      </c>
      <c r="P971">
        <v>1522146</v>
      </c>
      <c r="Q971" s="1" t="s">
        <v>47</v>
      </c>
      <c r="R971" s="1" t="s">
        <v>79</v>
      </c>
      <c r="S971" s="1" t="s">
        <v>37</v>
      </c>
      <c r="T971" s="1" t="s">
        <v>37</v>
      </c>
      <c r="U971">
        <v>4.3</v>
      </c>
      <c r="V971" t="s">
        <v>38</v>
      </c>
      <c r="W971">
        <v>8</v>
      </c>
      <c r="X971" s="1" t="s">
        <v>57</v>
      </c>
    </row>
    <row r="972" spans="1:24" x14ac:dyDescent="0.55000000000000004">
      <c r="A972" s="1" t="s">
        <v>1056</v>
      </c>
      <c r="B972" s="1" t="s">
        <v>62</v>
      </c>
      <c r="C972">
        <v>46</v>
      </c>
      <c r="D972" s="1" t="s">
        <v>26</v>
      </c>
      <c r="E972" s="1" t="s">
        <v>71</v>
      </c>
      <c r="F972" s="1" t="s">
        <v>72</v>
      </c>
      <c r="G972" s="1" t="s">
        <v>29</v>
      </c>
      <c r="H972" s="1" t="s">
        <v>77</v>
      </c>
      <c r="I972" s="1" t="s">
        <v>31</v>
      </c>
      <c r="J972" s="1" t="s">
        <v>32</v>
      </c>
      <c r="K972" s="1" t="s">
        <v>33</v>
      </c>
      <c r="L972" s="2">
        <v>45687</v>
      </c>
      <c r="M972" s="2">
        <v>45710</v>
      </c>
      <c r="N972">
        <v>1498949</v>
      </c>
      <c r="O972">
        <v>94517</v>
      </c>
      <c r="P972">
        <v>1404432</v>
      </c>
      <c r="Q972" s="1" t="s">
        <v>55</v>
      </c>
      <c r="R972" s="1" t="s">
        <v>109</v>
      </c>
      <c r="S972" s="1" t="s">
        <v>37</v>
      </c>
      <c r="T972" s="1" t="s">
        <v>37</v>
      </c>
      <c r="U972">
        <v>3.3</v>
      </c>
      <c r="V972" t="s">
        <v>38</v>
      </c>
      <c r="W972">
        <v>2</v>
      </c>
      <c r="X972" s="1" t="s">
        <v>107</v>
      </c>
    </row>
    <row r="973" spans="1:24" x14ac:dyDescent="0.55000000000000004">
      <c r="A973" s="1" t="s">
        <v>1057</v>
      </c>
      <c r="B973" s="1" t="s">
        <v>83</v>
      </c>
      <c r="C973">
        <v>43</v>
      </c>
      <c r="D973" s="1" t="s">
        <v>26</v>
      </c>
      <c r="E973" s="1" t="s">
        <v>27</v>
      </c>
      <c r="F973" s="1" t="s">
        <v>28</v>
      </c>
      <c r="G973" s="1" t="s">
        <v>29</v>
      </c>
      <c r="H973" s="1" t="s">
        <v>65</v>
      </c>
      <c r="I973" s="1" t="s">
        <v>53</v>
      </c>
      <c r="J973" s="1" t="s">
        <v>54</v>
      </c>
      <c r="K973" s="1" t="s">
        <v>46</v>
      </c>
      <c r="L973" s="2">
        <v>46116</v>
      </c>
      <c r="M973" s="2">
        <v>46146</v>
      </c>
      <c r="N973">
        <v>1804654</v>
      </c>
      <c r="O973">
        <v>66768</v>
      </c>
      <c r="P973">
        <v>1737886</v>
      </c>
      <c r="Q973" s="1" t="s">
        <v>78</v>
      </c>
      <c r="R973" s="1" t="s">
        <v>67</v>
      </c>
      <c r="S973" s="1" t="s">
        <v>37</v>
      </c>
      <c r="T973" s="1" t="s">
        <v>36</v>
      </c>
      <c r="U973">
        <v>4.0999999999999996</v>
      </c>
      <c r="V973" t="s">
        <v>38</v>
      </c>
      <c r="W973">
        <v>5</v>
      </c>
      <c r="X973" s="1" t="s">
        <v>86</v>
      </c>
    </row>
    <row r="974" spans="1:24" x14ac:dyDescent="0.55000000000000004">
      <c r="A974" s="1" t="s">
        <v>1058</v>
      </c>
      <c r="B974" s="1" t="s">
        <v>25</v>
      </c>
      <c r="C974">
        <v>52</v>
      </c>
      <c r="D974" s="1" t="s">
        <v>26</v>
      </c>
      <c r="E974" s="1" t="s">
        <v>71</v>
      </c>
      <c r="F974" s="1" t="s">
        <v>72</v>
      </c>
      <c r="G974" s="1" t="s">
        <v>29</v>
      </c>
      <c r="H974" s="1" t="s">
        <v>65</v>
      </c>
      <c r="I974" s="1" t="s">
        <v>53</v>
      </c>
      <c r="J974" s="1" t="s">
        <v>32</v>
      </c>
      <c r="K974" s="1" t="s">
        <v>33</v>
      </c>
      <c r="L974" s="2">
        <v>46157</v>
      </c>
      <c r="M974" s="2">
        <v>46168</v>
      </c>
      <c r="N974">
        <v>1494278</v>
      </c>
      <c r="O974">
        <v>16894</v>
      </c>
      <c r="P974">
        <v>1477384</v>
      </c>
      <c r="Q974" s="1" t="s">
        <v>55</v>
      </c>
      <c r="R974" s="1" t="s">
        <v>79</v>
      </c>
      <c r="S974" s="1" t="s">
        <v>36</v>
      </c>
      <c r="T974" s="1" t="s">
        <v>37</v>
      </c>
      <c r="U974">
        <v>4</v>
      </c>
      <c r="V974" t="s">
        <v>56</v>
      </c>
      <c r="W974">
        <v>5</v>
      </c>
      <c r="X974" s="1" t="s">
        <v>86</v>
      </c>
    </row>
    <row r="975" spans="1:24" x14ac:dyDescent="0.55000000000000004">
      <c r="A975" s="1" t="s">
        <v>1059</v>
      </c>
      <c r="B975" s="1" t="s">
        <v>83</v>
      </c>
      <c r="C975">
        <v>49</v>
      </c>
      <c r="D975" s="1" t="s">
        <v>42</v>
      </c>
      <c r="E975" s="1" t="s">
        <v>52</v>
      </c>
      <c r="F975" s="1" t="s">
        <v>44</v>
      </c>
      <c r="G975" s="1" t="s">
        <v>29</v>
      </c>
      <c r="H975" s="1" t="s">
        <v>65</v>
      </c>
      <c r="I975" s="1" t="s">
        <v>74</v>
      </c>
      <c r="J975" s="1" t="s">
        <v>32</v>
      </c>
      <c r="K975" s="1" t="s">
        <v>46</v>
      </c>
      <c r="L975" s="2">
        <v>46015</v>
      </c>
      <c r="M975" s="2">
        <v>46027</v>
      </c>
      <c r="N975">
        <v>1525420</v>
      </c>
      <c r="O975">
        <v>33507</v>
      </c>
      <c r="P975">
        <v>1491913</v>
      </c>
      <c r="Q975" s="1" t="s">
        <v>78</v>
      </c>
      <c r="R975" s="1" t="s">
        <v>109</v>
      </c>
      <c r="S975" s="1" t="s">
        <v>36</v>
      </c>
      <c r="T975" s="1" t="s">
        <v>37</v>
      </c>
      <c r="U975">
        <v>3.4</v>
      </c>
      <c r="V975" t="s">
        <v>56</v>
      </c>
      <c r="W975">
        <v>1</v>
      </c>
      <c r="X975" s="1" t="s">
        <v>88</v>
      </c>
    </row>
    <row r="976" spans="1:24" x14ac:dyDescent="0.55000000000000004">
      <c r="A976" s="1" t="s">
        <v>1060</v>
      </c>
      <c r="B976" s="1" t="s">
        <v>81</v>
      </c>
      <c r="C976">
        <v>47</v>
      </c>
      <c r="D976" s="1" t="s">
        <v>42</v>
      </c>
      <c r="E976" s="1" t="s">
        <v>43</v>
      </c>
      <c r="F976" s="1" t="s">
        <v>44</v>
      </c>
      <c r="G976" s="1" t="s">
        <v>29</v>
      </c>
      <c r="H976" s="1" t="s">
        <v>65</v>
      </c>
      <c r="I976" s="1" t="s">
        <v>59</v>
      </c>
      <c r="J976" s="1" t="s">
        <v>32</v>
      </c>
      <c r="K976" s="1" t="s">
        <v>33</v>
      </c>
      <c r="L976" s="2">
        <v>45751</v>
      </c>
      <c r="M976" s="2">
        <v>45787</v>
      </c>
      <c r="N976">
        <v>1808766</v>
      </c>
      <c r="O976">
        <v>43093</v>
      </c>
      <c r="P976">
        <v>1765673</v>
      </c>
      <c r="Q976" s="1" t="s">
        <v>66</v>
      </c>
      <c r="R976" s="1" t="s">
        <v>67</v>
      </c>
      <c r="S976" s="1" t="s">
        <v>36</v>
      </c>
      <c r="T976" s="1" t="s">
        <v>36</v>
      </c>
      <c r="U976">
        <v>3.8</v>
      </c>
      <c r="V976" t="s">
        <v>38</v>
      </c>
      <c r="W976">
        <v>5</v>
      </c>
      <c r="X976" s="1" t="s">
        <v>86</v>
      </c>
    </row>
    <row r="977" spans="1:24" x14ac:dyDescent="0.55000000000000004">
      <c r="A977" s="1" t="s">
        <v>1061</v>
      </c>
      <c r="B977" s="1" t="s">
        <v>70</v>
      </c>
      <c r="C977">
        <v>23</v>
      </c>
      <c r="D977" s="1" t="s">
        <v>26</v>
      </c>
      <c r="E977" s="1" t="s">
        <v>27</v>
      </c>
      <c r="F977" s="1" t="s">
        <v>28</v>
      </c>
      <c r="G977" s="1" t="s">
        <v>29</v>
      </c>
      <c r="H977" s="1" t="s">
        <v>77</v>
      </c>
      <c r="I977" s="1" t="s">
        <v>45</v>
      </c>
      <c r="J977" s="1" t="s">
        <v>32</v>
      </c>
      <c r="K977" s="1" t="s">
        <v>46</v>
      </c>
      <c r="L977" s="2">
        <v>45684</v>
      </c>
      <c r="M977" s="2">
        <v>45713</v>
      </c>
      <c r="N977">
        <v>1587768</v>
      </c>
      <c r="O977">
        <v>94228</v>
      </c>
      <c r="P977">
        <v>1493540</v>
      </c>
      <c r="Q977" s="1" t="s">
        <v>78</v>
      </c>
      <c r="R977" s="1" t="s">
        <v>48</v>
      </c>
      <c r="S977" s="1" t="s">
        <v>36</v>
      </c>
      <c r="T977" s="1" t="s">
        <v>37</v>
      </c>
      <c r="U977">
        <v>4.5999999999999996</v>
      </c>
      <c r="V977" t="s">
        <v>38</v>
      </c>
      <c r="W977">
        <v>2</v>
      </c>
      <c r="X977" s="1" t="s">
        <v>107</v>
      </c>
    </row>
    <row r="978" spans="1:24" x14ac:dyDescent="0.55000000000000004">
      <c r="A978" s="1" t="s">
        <v>1062</v>
      </c>
      <c r="B978" s="1" t="s">
        <v>70</v>
      </c>
      <c r="C978">
        <v>29</v>
      </c>
      <c r="D978" s="1" t="s">
        <v>26</v>
      </c>
      <c r="E978" s="1" t="s">
        <v>84</v>
      </c>
      <c r="F978" s="1" t="s">
        <v>85</v>
      </c>
      <c r="G978" s="1" t="s">
        <v>29</v>
      </c>
      <c r="H978" s="1" t="s">
        <v>77</v>
      </c>
      <c r="I978" s="1" t="s">
        <v>45</v>
      </c>
      <c r="J978" s="1" t="s">
        <v>54</v>
      </c>
      <c r="K978" s="1" t="s">
        <v>33</v>
      </c>
      <c r="L978" s="2">
        <v>45978</v>
      </c>
      <c r="M978" s="2">
        <v>46015</v>
      </c>
      <c r="N978">
        <v>1601533</v>
      </c>
      <c r="O978">
        <v>84972</v>
      </c>
      <c r="P978">
        <v>1516561</v>
      </c>
      <c r="Q978" s="1" t="s">
        <v>55</v>
      </c>
      <c r="R978" s="1" t="s">
        <v>79</v>
      </c>
      <c r="S978" s="1" t="s">
        <v>36</v>
      </c>
      <c r="T978" s="1" t="s">
        <v>37</v>
      </c>
      <c r="U978">
        <v>3.1</v>
      </c>
      <c r="V978" t="s">
        <v>38</v>
      </c>
      <c r="W978">
        <v>12</v>
      </c>
      <c r="X978" s="1" t="s">
        <v>49</v>
      </c>
    </row>
    <row r="979" spans="1:24" x14ac:dyDescent="0.55000000000000004">
      <c r="A979" s="1" t="s">
        <v>1063</v>
      </c>
      <c r="B979" s="1" t="s">
        <v>41</v>
      </c>
      <c r="C979">
        <v>35</v>
      </c>
      <c r="D979" s="1" t="s">
        <v>42</v>
      </c>
      <c r="E979" s="1" t="s">
        <v>43</v>
      </c>
      <c r="F979" s="1" t="s">
        <v>44</v>
      </c>
      <c r="G979" s="1" t="s">
        <v>29</v>
      </c>
      <c r="H979" s="1" t="s">
        <v>65</v>
      </c>
      <c r="I979" s="1" t="s">
        <v>45</v>
      </c>
      <c r="J979" s="1" t="s">
        <v>54</v>
      </c>
      <c r="K979" s="1" t="s">
        <v>46</v>
      </c>
      <c r="L979" s="2">
        <v>45667</v>
      </c>
      <c r="M979" s="2">
        <v>45695</v>
      </c>
      <c r="N979">
        <v>1317336</v>
      </c>
      <c r="O979">
        <v>38842</v>
      </c>
      <c r="P979">
        <v>1278494</v>
      </c>
      <c r="Q979" s="1" t="s">
        <v>66</v>
      </c>
      <c r="R979" s="1" t="s">
        <v>109</v>
      </c>
      <c r="S979" s="1" t="s">
        <v>37</v>
      </c>
      <c r="T979" s="1" t="s">
        <v>37</v>
      </c>
      <c r="U979">
        <v>3.2</v>
      </c>
      <c r="V979" t="s">
        <v>38</v>
      </c>
      <c r="W979">
        <v>2</v>
      </c>
      <c r="X979" s="1" t="s">
        <v>107</v>
      </c>
    </row>
    <row r="980" spans="1:24" x14ac:dyDescent="0.55000000000000004">
      <c r="A980" s="1" t="s">
        <v>1064</v>
      </c>
      <c r="B980" s="1" t="s">
        <v>105</v>
      </c>
      <c r="C980">
        <v>46</v>
      </c>
      <c r="D980" s="1" t="s">
        <v>26</v>
      </c>
      <c r="E980" s="1" t="s">
        <v>90</v>
      </c>
      <c r="F980" s="1" t="s">
        <v>44</v>
      </c>
      <c r="G980" s="1" t="s">
        <v>29</v>
      </c>
      <c r="H980" s="1" t="s">
        <v>77</v>
      </c>
      <c r="I980" s="1" t="s">
        <v>53</v>
      </c>
      <c r="J980" s="1" t="s">
        <v>32</v>
      </c>
      <c r="K980" s="1" t="s">
        <v>46</v>
      </c>
      <c r="L980" s="2">
        <v>46081</v>
      </c>
      <c r="M980" s="2">
        <v>46122</v>
      </c>
      <c r="N980">
        <v>1602544</v>
      </c>
      <c r="O980">
        <v>38910</v>
      </c>
      <c r="P980">
        <v>1563634</v>
      </c>
      <c r="Q980" s="1" t="s">
        <v>47</v>
      </c>
      <c r="R980" s="1" t="s">
        <v>109</v>
      </c>
      <c r="S980" s="1" t="s">
        <v>36</v>
      </c>
      <c r="T980" s="1" t="s">
        <v>36</v>
      </c>
      <c r="U980">
        <v>3</v>
      </c>
      <c r="V980" t="s">
        <v>38</v>
      </c>
      <c r="W980">
        <v>4</v>
      </c>
      <c r="X980" s="1" t="s">
        <v>63</v>
      </c>
    </row>
    <row r="981" spans="1:24" x14ac:dyDescent="0.55000000000000004">
      <c r="A981" s="1" t="s">
        <v>1065</v>
      </c>
      <c r="B981" s="1" t="s">
        <v>105</v>
      </c>
      <c r="C981">
        <v>22</v>
      </c>
      <c r="D981" s="1" t="s">
        <v>42</v>
      </c>
      <c r="E981" s="1" t="s">
        <v>90</v>
      </c>
      <c r="F981" s="1" t="s">
        <v>44</v>
      </c>
      <c r="G981" s="1" t="s">
        <v>29</v>
      </c>
      <c r="H981" s="1" t="s">
        <v>30</v>
      </c>
      <c r="I981" s="1" t="s">
        <v>59</v>
      </c>
      <c r="J981" s="1" t="s">
        <v>54</v>
      </c>
      <c r="K981" s="1" t="s">
        <v>46</v>
      </c>
      <c r="L981" s="2">
        <v>46071</v>
      </c>
      <c r="M981" s="2">
        <v>46097</v>
      </c>
      <c r="N981">
        <v>1536925</v>
      </c>
      <c r="O981">
        <v>17192</v>
      </c>
      <c r="P981">
        <v>1519733</v>
      </c>
      <c r="Q981" s="1" t="s">
        <v>34</v>
      </c>
      <c r="R981" s="1" t="s">
        <v>48</v>
      </c>
      <c r="S981" s="1" t="s">
        <v>36</v>
      </c>
      <c r="T981" s="1" t="s">
        <v>37</v>
      </c>
      <c r="U981">
        <v>3.2</v>
      </c>
      <c r="V981" t="s">
        <v>38</v>
      </c>
      <c r="W981">
        <v>3</v>
      </c>
      <c r="X981" s="1" t="s">
        <v>96</v>
      </c>
    </row>
    <row r="982" spans="1:24" x14ac:dyDescent="0.55000000000000004">
      <c r="A982" s="1" t="s">
        <v>1066</v>
      </c>
      <c r="B982" s="1" t="s">
        <v>62</v>
      </c>
      <c r="C982">
        <v>48</v>
      </c>
      <c r="D982" s="1" t="s">
        <v>26</v>
      </c>
      <c r="E982" s="1" t="s">
        <v>43</v>
      </c>
      <c r="F982" s="1" t="s">
        <v>44</v>
      </c>
      <c r="G982" s="1" t="s">
        <v>29</v>
      </c>
      <c r="H982" s="1" t="s">
        <v>65</v>
      </c>
      <c r="I982" s="1" t="s">
        <v>31</v>
      </c>
      <c r="J982" s="1" t="s">
        <v>32</v>
      </c>
      <c r="K982" s="1" t="s">
        <v>33</v>
      </c>
      <c r="L982" s="2">
        <v>45687</v>
      </c>
      <c r="M982" s="2">
        <v>45725</v>
      </c>
      <c r="N982">
        <v>1767570</v>
      </c>
      <c r="O982">
        <v>12944</v>
      </c>
      <c r="P982">
        <v>1754626</v>
      </c>
      <c r="Q982" s="1" t="s">
        <v>66</v>
      </c>
      <c r="R982" s="1" t="s">
        <v>35</v>
      </c>
      <c r="S982" s="1" t="s">
        <v>36</v>
      </c>
      <c r="T982" s="1" t="s">
        <v>36</v>
      </c>
      <c r="U982">
        <v>5</v>
      </c>
      <c r="V982" t="s">
        <v>38</v>
      </c>
      <c r="W982">
        <v>3</v>
      </c>
      <c r="X982" s="1" t="s">
        <v>96</v>
      </c>
    </row>
    <row r="983" spans="1:24" x14ac:dyDescent="0.55000000000000004">
      <c r="A983" s="1" t="s">
        <v>1067</v>
      </c>
      <c r="B983" s="1" t="s">
        <v>25</v>
      </c>
      <c r="C983">
        <v>39</v>
      </c>
      <c r="D983" s="1" t="s">
        <v>42</v>
      </c>
      <c r="E983" s="1" t="s">
        <v>52</v>
      </c>
      <c r="F983" s="1" t="s">
        <v>44</v>
      </c>
      <c r="G983" s="1" t="s">
        <v>29</v>
      </c>
      <c r="H983" s="1" t="s">
        <v>30</v>
      </c>
      <c r="I983" s="1" t="s">
        <v>74</v>
      </c>
      <c r="J983" s="1" t="s">
        <v>54</v>
      </c>
      <c r="K983" s="1" t="s">
        <v>46</v>
      </c>
      <c r="L983" s="2">
        <v>45930</v>
      </c>
      <c r="M983" s="2">
        <v>45958</v>
      </c>
      <c r="N983">
        <v>1602964</v>
      </c>
      <c r="O983">
        <v>75246</v>
      </c>
      <c r="P983">
        <v>1527718</v>
      </c>
      <c r="Q983" s="1" t="s">
        <v>47</v>
      </c>
      <c r="R983" s="1" t="s">
        <v>79</v>
      </c>
      <c r="S983" s="1" t="s">
        <v>37</v>
      </c>
      <c r="T983" s="1" t="s">
        <v>37</v>
      </c>
      <c r="U983">
        <v>4</v>
      </c>
      <c r="V983" t="s">
        <v>38</v>
      </c>
      <c r="W983">
        <v>10</v>
      </c>
      <c r="X983" s="1" t="s">
        <v>75</v>
      </c>
    </row>
    <row r="984" spans="1:24" x14ac:dyDescent="0.55000000000000004">
      <c r="A984" s="1" t="s">
        <v>1068</v>
      </c>
      <c r="B984" s="1" t="s">
        <v>25</v>
      </c>
      <c r="C984">
        <v>39</v>
      </c>
      <c r="D984" s="1" t="s">
        <v>26</v>
      </c>
      <c r="E984" s="1" t="s">
        <v>84</v>
      </c>
      <c r="F984" s="1" t="s">
        <v>85</v>
      </c>
      <c r="G984" s="1" t="s">
        <v>29</v>
      </c>
      <c r="H984" s="1" t="s">
        <v>77</v>
      </c>
      <c r="I984" s="1" t="s">
        <v>31</v>
      </c>
      <c r="J984" s="1" t="s">
        <v>32</v>
      </c>
      <c r="K984" s="1" t="s">
        <v>33</v>
      </c>
      <c r="L984" s="2">
        <v>45848</v>
      </c>
      <c r="M984" s="2">
        <v>45893</v>
      </c>
      <c r="N984">
        <v>1873751</v>
      </c>
      <c r="O984">
        <v>87455</v>
      </c>
      <c r="P984">
        <v>1786296</v>
      </c>
      <c r="Q984" s="1" t="s">
        <v>55</v>
      </c>
      <c r="R984" s="1" t="s">
        <v>109</v>
      </c>
      <c r="S984" s="1" t="s">
        <v>37</v>
      </c>
      <c r="T984" s="1" t="s">
        <v>37</v>
      </c>
      <c r="U984">
        <v>3.5</v>
      </c>
      <c r="V984" t="s">
        <v>38</v>
      </c>
      <c r="W984">
        <v>8</v>
      </c>
      <c r="X984" s="1" t="s">
        <v>57</v>
      </c>
    </row>
    <row r="985" spans="1:24" x14ac:dyDescent="0.55000000000000004">
      <c r="A985" s="1" t="s">
        <v>1069</v>
      </c>
      <c r="B985" s="1" t="s">
        <v>62</v>
      </c>
      <c r="C985">
        <v>38</v>
      </c>
      <c r="D985" s="1" t="s">
        <v>42</v>
      </c>
      <c r="E985" s="1" t="s">
        <v>27</v>
      </c>
      <c r="F985" s="1" t="s">
        <v>28</v>
      </c>
      <c r="G985" s="1" t="s">
        <v>29</v>
      </c>
      <c r="H985" s="1" t="s">
        <v>30</v>
      </c>
      <c r="I985" s="1" t="s">
        <v>59</v>
      </c>
      <c r="J985" s="1" t="s">
        <v>32</v>
      </c>
      <c r="K985" s="1" t="s">
        <v>33</v>
      </c>
      <c r="L985" s="2">
        <v>46154</v>
      </c>
      <c r="M985" s="2">
        <v>46165</v>
      </c>
      <c r="N985">
        <v>1891499</v>
      </c>
      <c r="O985">
        <v>16348</v>
      </c>
      <c r="P985">
        <v>1875151</v>
      </c>
      <c r="Q985" s="1" t="s">
        <v>55</v>
      </c>
      <c r="R985" s="1" t="s">
        <v>79</v>
      </c>
      <c r="S985" s="1" t="s">
        <v>37</v>
      </c>
      <c r="T985" s="1" t="s">
        <v>37</v>
      </c>
      <c r="U985">
        <v>3.2</v>
      </c>
      <c r="V985" t="s">
        <v>56</v>
      </c>
      <c r="W985">
        <v>5</v>
      </c>
      <c r="X985" s="1" t="s">
        <v>86</v>
      </c>
    </row>
    <row r="986" spans="1:24" x14ac:dyDescent="0.55000000000000004">
      <c r="A986" s="1" t="s">
        <v>1070</v>
      </c>
      <c r="B986" s="1" t="s">
        <v>81</v>
      </c>
      <c r="C986">
        <v>30</v>
      </c>
      <c r="D986" s="1" t="s">
        <v>42</v>
      </c>
      <c r="E986" s="1" t="s">
        <v>27</v>
      </c>
      <c r="F986" s="1" t="s">
        <v>28</v>
      </c>
      <c r="G986" s="1" t="s">
        <v>29</v>
      </c>
      <c r="H986" s="1" t="s">
        <v>30</v>
      </c>
      <c r="I986" s="1" t="s">
        <v>74</v>
      </c>
      <c r="J986" s="1" t="s">
        <v>54</v>
      </c>
      <c r="K986" s="1" t="s">
        <v>33</v>
      </c>
      <c r="L986" s="2">
        <v>45932</v>
      </c>
      <c r="M986" s="2">
        <v>45949</v>
      </c>
      <c r="N986">
        <v>1696708</v>
      </c>
      <c r="O986">
        <v>43636</v>
      </c>
      <c r="P986">
        <v>1653072</v>
      </c>
      <c r="Q986" s="1" t="s">
        <v>34</v>
      </c>
      <c r="R986" s="1" t="s">
        <v>67</v>
      </c>
      <c r="S986" s="1" t="s">
        <v>36</v>
      </c>
      <c r="T986" s="1" t="s">
        <v>37</v>
      </c>
      <c r="U986">
        <v>4.5</v>
      </c>
      <c r="V986" t="s">
        <v>56</v>
      </c>
      <c r="W986">
        <v>10</v>
      </c>
      <c r="X986" s="1" t="s">
        <v>75</v>
      </c>
    </row>
    <row r="987" spans="1:24" x14ac:dyDescent="0.55000000000000004">
      <c r="A987" s="1" t="s">
        <v>1071</v>
      </c>
      <c r="B987" s="1" t="s">
        <v>70</v>
      </c>
      <c r="C987">
        <v>48</v>
      </c>
      <c r="D987" s="1" t="s">
        <v>42</v>
      </c>
      <c r="E987" s="1" t="s">
        <v>84</v>
      </c>
      <c r="F987" s="1" t="s">
        <v>85</v>
      </c>
      <c r="G987" s="1" t="s">
        <v>29</v>
      </c>
      <c r="H987" s="1" t="s">
        <v>30</v>
      </c>
      <c r="I987" s="1" t="s">
        <v>59</v>
      </c>
      <c r="J987" s="1" t="s">
        <v>32</v>
      </c>
      <c r="K987" s="1" t="s">
        <v>46</v>
      </c>
      <c r="L987" s="2">
        <v>45821</v>
      </c>
      <c r="M987" s="2">
        <v>45860</v>
      </c>
      <c r="N987">
        <v>1513042</v>
      </c>
      <c r="O987">
        <v>65626</v>
      </c>
      <c r="P987">
        <v>1447416</v>
      </c>
      <c r="Q987" s="1" t="s">
        <v>66</v>
      </c>
      <c r="R987" s="1" t="s">
        <v>79</v>
      </c>
      <c r="S987" s="1" t="s">
        <v>37</v>
      </c>
      <c r="T987" s="1" t="s">
        <v>36</v>
      </c>
      <c r="U987">
        <v>3.3</v>
      </c>
      <c r="V987" t="s">
        <v>38</v>
      </c>
      <c r="W987">
        <v>7</v>
      </c>
      <c r="X987" s="1" t="s">
        <v>39</v>
      </c>
    </row>
    <row r="988" spans="1:24" x14ac:dyDescent="0.55000000000000004">
      <c r="A988" s="1" t="s">
        <v>1072</v>
      </c>
      <c r="B988" s="1" t="s">
        <v>25</v>
      </c>
      <c r="C988">
        <v>30</v>
      </c>
      <c r="D988" s="1" t="s">
        <v>42</v>
      </c>
      <c r="E988" s="1" t="s">
        <v>27</v>
      </c>
      <c r="F988" s="1" t="s">
        <v>28</v>
      </c>
      <c r="G988" s="1" t="s">
        <v>29</v>
      </c>
      <c r="H988" s="1" t="s">
        <v>30</v>
      </c>
      <c r="I988" s="1" t="s">
        <v>53</v>
      </c>
      <c r="J988" s="1" t="s">
        <v>54</v>
      </c>
      <c r="K988" s="1" t="s">
        <v>46</v>
      </c>
      <c r="L988" s="2">
        <v>46086</v>
      </c>
      <c r="M988" s="2">
        <v>46116</v>
      </c>
      <c r="N988">
        <v>1306483</v>
      </c>
      <c r="O988">
        <v>82867</v>
      </c>
      <c r="P988">
        <v>1223616</v>
      </c>
      <c r="Q988" s="1" t="s">
        <v>34</v>
      </c>
      <c r="R988" s="1" t="s">
        <v>79</v>
      </c>
      <c r="S988" s="1" t="s">
        <v>37</v>
      </c>
      <c r="T988" s="1" t="s">
        <v>36</v>
      </c>
      <c r="U988">
        <v>3.1</v>
      </c>
      <c r="V988" t="s">
        <v>38</v>
      </c>
      <c r="W988">
        <v>4</v>
      </c>
      <c r="X988" s="1" t="s">
        <v>63</v>
      </c>
    </row>
    <row r="989" spans="1:24" x14ac:dyDescent="0.55000000000000004">
      <c r="A989" s="1" t="s">
        <v>1073</v>
      </c>
      <c r="B989" s="1" t="s">
        <v>25</v>
      </c>
      <c r="C989">
        <v>23</v>
      </c>
      <c r="D989" s="1" t="s">
        <v>42</v>
      </c>
      <c r="E989" s="1" t="s">
        <v>27</v>
      </c>
      <c r="F989" s="1" t="s">
        <v>28</v>
      </c>
      <c r="G989" s="1" t="s">
        <v>29</v>
      </c>
      <c r="H989" s="1" t="s">
        <v>77</v>
      </c>
      <c r="I989" s="1" t="s">
        <v>53</v>
      </c>
      <c r="J989" s="1" t="s">
        <v>54</v>
      </c>
      <c r="K989" s="1" t="s">
        <v>46</v>
      </c>
      <c r="L989" s="2">
        <v>45674</v>
      </c>
      <c r="M989" s="2">
        <v>45686</v>
      </c>
      <c r="N989">
        <v>1669656</v>
      </c>
      <c r="O989">
        <v>43191</v>
      </c>
      <c r="P989">
        <v>1626465</v>
      </c>
      <c r="Q989" s="1" t="s">
        <v>47</v>
      </c>
      <c r="R989" s="1" t="s">
        <v>109</v>
      </c>
      <c r="S989" s="1" t="s">
        <v>36</v>
      </c>
      <c r="T989" s="1" t="s">
        <v>36</v>
      </c>
      <c r="U989">
        <v>4.8</v>
      </c>
      <c r="V989" t="s">
        <v>56</v>
      </c>
      <c r="W989">
        <v>1</v>
      </c>
      <c r="X989" s="1" t="s">
        <v>88</v>
      </c>
    </row>
    <row r="990" spans="1:24" x14ac:dyDescent="0.55000000000000004">
      <c r="A990" s="1" t="s">
        <v>1074</v>
      </c>
      <c r="B990" s="1" t="s">
        <v>93</v>
      </c>
      <c r="C990">
        <v>41</v>
      </c>
      <c r="D990" s="1" t="s">
        <v>26</v>
      </c>
      <c r="E990" s="1" t="s">
        <v>90</v>
      </c>
      <c r="F990" s="1" t="s">
        <v>44</v>
      </c>
      <c r="G990" s="1" t="s">
        <v>29</v>
      </c>
      <c r="H990" s="1" t="s">
        <v>30</v>
      </c>
      <c r="I990" s="1" t="s">
        <v>74</v>
      </c>
      <c r="J990" s="1" t="s">
        <v>32</v>
      </c>
      <c r="K990" s="1" t="s">
        <v>46</v>
      </c>
      <c r="L990" s="2">
        <v>46077</v>
      </c>
      <c r="M990" s="2">
        <v>46107</v>
      </c>
      <c r="N990">
        <v>1593718</v>
      </c>
      <c r="O990">
        <v>91267</v>
      </c>
      <c r="P990">
        <v>1502451</v>
      </c>
      <c r="Q990" s="1" t="s">
        <v>55</v>
      </c>
      <c r="R990" s="1" t="s">
        <v>67</v>
      </c>
      <c r="S990" s="1" t="s">
        <v>36</v>
      </c>
      <c r="T990" s="1" t="s">
        <v>37</v>
      </c>
      <c r="U990">
        <v>3.1</v>
      </c>
      <c r="V990" t="s">
        <v>38</v>
      </c>
      <c r="W990">
        <v>3</v>
      </c>
      <c r="X990" s="1" t="s">
        <v>96</v>
      </c>
    </row>
    <row r="991" spans="1:24" x14ac:dyDescent="0.55000000000000004">
      <c r="A991" s="1" t="s">
        <v>1075</v>
      </c>
      <c r="B991" s="1" t="s">
        <v>105</v>
      </c>
      <c r="C991">
        <v>46</v>
      </c>
      <c r="D991" s="1" t="s">
        <v>26</v>
      </c>
      <c r="E991" s="1" t="s">
        <v>43</v>
      </c>
      <c r="F991" s="1" t="s">
        <v>44</v>
      </c>
      <c r="G991" s="1" t="s">
        <v>29</v>
      </c>
      <c r="H991" s="1" t="s">
        <v>77</v>
      </c>
      <c r="I991" s="1" t="s">
        <v>74</v>
      </c>
      <c r="J991" s="1" t="s">
        <v>32</v>
      </c>
      <c r="K991" s="1" t="s">
        <v>46</v>
      </c>
      <c r="L991" s="2">
        <v>45926</v>
      </c>
      <c r="M991" s="2">
        <v>45955</v>
      </c>
      <c r="N991">
        <v>1339342</v>
      </c>
      <c r="O991">
        <v>96038</v>
      </c>
      <c r="P991">
        <v>1243304</v>
      </c>
      <c r="Q991" s="1" t="s">
        <v>66</v>
      </c>
      <c r="R991" s="1" t="s">
        <v>79</v>
      </c>
      <c r="S991" s="1" t="s">
        <v>36</v>
      </c>
      <c r="T991" s="1" t="s">
        <v>37</v>
      </c>
      <c r="U991">
        <v>4.2</v>
      </c>
      <c r="V991" t="s">
        <v>38</v>
      </c>
      <c r="W991">
        <v>10</v>
      </c>
      <c r="X991" s="1" t="s">
        <v>75</v>
      </c>
    </row>
    <row r="992" spans="1:24" x14ac:dyDescent="0.55000000000000004">
      <c r="A992" s="1" t="s">
        <v>1076</v>
      </c>
      <c r="B992" s="1" t="s">
        <v>98</v>
      </c>
      <c r="C992">
        <v>46</v>
      </c>
      <c r="D992" s="1" t="s">
        <v>42</v>
      </c>
      <c r="E992" s="1" t="s">
        <v>71</v>
      </c>
      <c r="F992" s="1" t="s">
        <v>72</v>
      </c>
      <c r="G992" s="1" t="s">
        <v>29</v>
      </c>
      <c r="H992" s="1" t="s">
        <v>30</v>
      </c>
      <c r="I992" s="1" t="s">
        <v>74</v>
      </c>
      <c r="J992" s="1" t="s">
        <v>32</v>
      </c>
      <c r="K992" s="1" t="s">
        <v>33</v>
      </c>
      <c r="L992" s="2">
        <v>45820</v>
      </c>
      <c r="M992" s="2">
        <v>45839</v>
      </c>
      <c r="N992">
        <v>1756789</v>
      </c>
      <c r="O992">
        <v>11065</v>
      </c>
      <c r="P992">
        <v>1745724</v>
      </c>
      <c r="Q992" s="1" t="s">
        <v>55</v>
      </c>
      <c r="R992" s="1" t="s">
        <v>35</v>
      </c>
      <c r="S992" s="1" t="s">
        <v>36</v>
      </c>
      <c r="T992" s="1" t="s">
        <v>36</v>
      </c>
      <c r="U992">
        <v>4.8</v>
      </c>
      <c r="V992" t="s">
        <v>56</v>
      </c>
      <c r="W992">
        <v>7</v>
      </c>
      <c r="X992" s="1" t="s">
        <v>39</v>
      </c>
    </row>
    <row r="993" spans="1:24" x14ac:dyDescent="0.55000000000000004">
      <c r="A993" s="1" t="s">
        <v>1077</v>
      </c>
      <c r="B993" s="1" t="s">
        <v>83</v>
      </c>
      <c r="C993">
        <v>25</v>
      </c>
      <c r="D993" s="1" t="s">
        <v>42</v>
      </c>
      <c r="E993" s="1" t="s">
        <v>27</v>
      </c>
      <c r="F993" s="1" t="s">
        <v>28</v>
      </c>
      <c r="G993" s="1" t="s">
        <v>29</v>
      </c>
      <c r="H993" s="1" t="s">
        <v>65</v>
      </c>
      <c r="I993" s="1" t="s">
        <v>74</v>
      </c>
      <c r="J993" s="1" t="s">
        <v>32</v>
      </c>
      <c r="K993" s="1" t="s">
        <v>33</v>
      </c>
      <c r="L993" s="2">
        <v>46046</v>
      </c>
      <c r="M993" s="2">
        <v>46069</v>
      </c>
      <c r="N993">
        <v>1612379</v>
      </c>
      <c r="O993">
        <v>60461</v>
      </c>
      <c r="P993">
        <v>1551918</v>
      </c>
      <c r="Q993" s="1" t="s">
        <v>55</v>
      </c>
      <c r="R993" s="1" t="s">
        <v>109</v>
      </c>
      <c r="S993" s="1" t="s">
        <v>36</v>
      </c>
      <c r="T993" s="1" t="s">
        <v>36</v>
      </c>
      <c r="U993">
        <v>4.9000000000000004</v>
      </c>
      <c r="V993" t="s">
        <v>38</v>
      </c>
      <c r="W993">
        <v>2</v>
      </c>
      <c r="X993" s="1" t="s">
        <v>107</v>
      </c>
    </row>
    <row r="994" spans="1:24" x14ac:dyDescent="0.55000000000000004">
      <c r="A994" s="1" t="s">
        <v>1078</v>
      </c>
      <c r="B994" s="1" t="s">
        <v>83</v>
      </c>
      <c r="C994">
        <v>37</v>
      </c>
      <c r="D994" s="1" t="s">
        <v>26</v>
      </c>
      <c r="E994" s="1" t="s">
        <v>43</v>
      </c>
      <c r="F994" s="1" t="s">
        <v>44</v>
      </c>
      <c r="G994" s="1" t="s">
        <v>29</v>
      </c>
      <c r="H994" s="1" t="s">
        <v>77</v>
      </c>
      <c r="I994" s="1" t="s">
        <v>45</v>
      </c>
      <c r="J994" s="1" t="s">
        <v>54</v>
      </c>
      <c r="K994" s="1" t="s">
        <v>33</v>
      </c>
      <c r="L994" s="2">
        <v>45913</v>
      </c>
      <c r="M994" s="2">
        <v>45952</v>
      </c>
      <c r="N994">
        <v>1657526</v>
      </c>
      <c r="O994">
        <v>29453</v>
      </c>
      <c r="P994">
        <v>1628073</v>
      </c>
      <c r="Q994" s="1" t="s">
        <v>55</v>
      </c>
      <c r="R994" s="1" t="s">
        <v>79</v>
      </c>
      <c r="S994" s="1" t="s">
        <v>37</v>
      </c>
      <c r="T994" s="1" t="s">
        <v>36</v>
      </c>
      <c r="U994">
        <v>3.4</v>
      </c>
      <c r="V994" t="s">
        <v>38</v>
      </c>
      <c r="W994">
        <v>10</v>
      </c>
      <c r="X994" s="1" t="s">
        <v>75</v>
      </c>
    </row>
    <row r="995" spans="1:24" x14ac:dyDescent="0.55000000000000004">
      <c r="A995" s="1" t="s">
        <v>1079</v>
      </c>
      <c r="B995" s="1" t="s">
        <v>62</v>
      </c>
      <c r="C995">
        <v>56</v>
      </c>
      <c r="D995" s="1" t="s">
        <v>42</v>
      </c>
      <c r="E995" s="1" t="s">
        <v>90</v>
      </c>
      <c r="F995" s="1" t="s">
        <v>44</v>
      </c>
      <c r="G995" s="1" t="s">
        <v>29</v>
      </c>
      <c r="H995" s="1" t="s">
        <v>30</v>
      </c>
      <c r="I995" s="1" t="s">
        <v>59</v>
      </c>
      <c r="J995" s="1" t="s">
        <v>32</v>
      </c>
      <c r="K995" s="1" t="s">
        <v>46</v>
      </c>
      <c r="L995" s="2">
        <v>46064</v>
      </c>
      <c r="M995" s="2">
        <v>46100</v>
      </c>
      <c r="N995">
        <v>1732313</v>
      </c>
      <c r="O995">
        <v>80805</v>
      </c>
      <c r="P995">
        <v>1651508</v>
      </c>
      <c r="Q995" s="1" t="s">
        <v>34</v>
      </c>
      <c r="R995" s="1" t="s">
        <v>109</v>
      </c>
      <c r="S995" s="1" t="s">
        <v>37</v>
      </c>
      <c r="T995" s="1" t="s">
        <v>36</v>
      </c>
      <c r="U995">
        <v>4.9000000000000004</v>
      </c>
      <c r="V995" t="s">
        <v>38</v>
      </c>
      <c r="W995">
        <v>3</v>
      </c>
      <c r="X995" s="1" t="s">
        <v>96</v>
      </c>
    </row>
    <row r="996" spans="1:24" x14ac:dyDescent="0.55000000000000004">
      <c r="A996" s="1" t="s">
        <v>1080</v>
      </c>
      <c r="B996" s="1" t="s">
        <v>62</v>
      </c>
      <c r="C996">
        <v>31</v>
      </c>
      <c r="D996" s="1" t="s">
        <v>26</v>
      </c>
      <c r="E996" s="1" t="s">
        <v>43</v>
      </c>
      <c r="F996" s="1" t="s">
        <v>44</v>
      </c>
      <c r="G996" s="1" t="s">
        <v>29</v>
      </c>
      <c r="H996" s="1" t="s">
        <v>65</v>
      </c>
      <c r="I996" s="1" t="s">
        <v>45</v>
      </c>
      <c r="J996" s="1" t="s">
        <v>54</v>
      </c>
      <c r="K996" s="1" t="s">
        <v>33</v>
      </c>
      <c r="L996" s="2">
        <v>45938</v>
      </c>
      <c r="M996" s="2">
        <v>45948</v>
      </c>
      <c r="N996">
        <v>1329187</v>
      </c>
      <c r="O996">
        <v>46269</v>
      </c>
      <c r="P996">
        <v>1282918</v>
      </c>
      <c r="Q996" s="1" t="s">
        <v>34</v>
      </c>
      <c r="R996" s="1" t="s">
        <v>67</v>
      </c>
      <c r="S996" s="1" t="s">
        <v>37</v>
      </c>
      <c r="T996" s="1" t="s">
        <v>36</v>
      </c>
      <c r="U996">
        <v>3.6</v>
      </c>
      <c r="V996" t="s">
        <v>91</v>
      </c>
      <c r="W996">
        <v>10</v>
      </c>
      <c r="X996" s="1" t="s">
        <v>75</v>
      </c>
    </row>
    <row r="997" spans="1:24" x14ac:dyDescent="0.55000000000000004">
      <c r="A997" s="1" t="s">
        <v>1081</v>
      </c>
      <c r="B997" s="1" t="s">
        <v>51</v>
      </c>
      <c r="C997">
        <v>54</v>
      </c>
      <c r="D997" s="1" t="s">
        <v>42</v>
      </c>
      <c r="E997" s="1" t="s">
        <v>71</v>
      </c>
      <c r="F997" s="1" t="s">
        <v>72</v>
      </c>
      <c r="G997" s="1" t="s">
        <v>29</v>
      </c>
      <c r="H997" s="1" t="s">
        <v>77</v>
      </c>
      <c r="I997" s="1" t="s">
        <v>53</v>
      </c>
      <c r="J997" s="1" t="s">
        <v>32</v>
      </c>
      <c r="K997" s="1" t="s">
        <v>33</v>
      </c>
      <c r="L997" s="2">
        <v>45661</v>
      </c>
      <c r="M997" s="2">
        <v>45670</v>
      </c>
      <c r="N997">
        <v>1729438</v>
      </c>
      <c r="O997">
        <v>23322</v>
      </c>
      <c r="P997">
        <v>1706116</v>
      </c>
      <c r="Q997" s="1" t="s">
        <v>34</v>
      </c>
      <c r="R997" s="1" t="s">
        <v>67</v>
      </c>
      <c r="S997" s="1" t="s">
        <v>37</v>
      </c>
      <c r="T997" s="1" t="s">
        <v>37</v>
      </c>
      <c r="U997">
        <v>3.8</v>
      </c>
      <c r="V997" t="s">
        <v>91</v>
      </c>
      <c r="W997">
        <v>1</v>
      </c>
      <c r="X997" s="1" t="s">
        <v>88</v>
      </c>
    </row>
    <row r="998" spans="1:24" x14ac:dyDescent="0.55000000000000004">
      <c r="A998" s="1" t="s">
        <v>1082</v>
      </c>
      <c r="B998" s="1" t="s">
        <v>105</v>
      </c>
      <c r="C998">
        <v>28</v>
      </c>
      <c r="D998" s="1" t="s">
        <v>42</v>
      </c>
      <c r="E998" s="1" t="s">
        <v>71</v>
      </c>
      <c r="F998" s="1" t="s">
        <v>72</v>
      </c>
      <c r="G998" s="1" t="s">
        <v>29</v>
      </c>
      <c r="H998" s="1" t="s">
        <v>77</v>
      </c>
      <c r="I998" s="1" t="s">
        <v>74</v>
      </c>
      <c r="J998" s="1" t="s">
        <v>32</v>
      </c>
      <c r="K998" s="1" t="s">
        <v>46</v>
      </c>
      <c r="L998" s="2">
        <v>45720</v>
      </c>
      <c r="M998" s="2">
        <v>45745</v>
      </c>
      <c r="N998">
        <v>1613667</v>
      </c>
      <c r="O998">
        <v>33302</v>
      </c>
      <c r="P998">
        <v>1580365</v>
      </c>
      <c r="Q998" s="1" t="s">
        <v>55</v>
      </c>
      <c r="R998" s="1" t="s">
        <v>35</v>
      </c>
      <c r="S998" s="1" t="s">
        <v>37</v>
      </c>
      <c r="T998" s="1" t="s">
        <v>37</v>
      </c>
      <c r="U998">
        <v>3.6</v>
      </c>
      <c r="V998" t="s">
        <v>38</v>
      </c>
      <c r="W998">
        <v>3</v>
      </c>
      <c r="X998" s="1" t="s">
        <v>96</v>
      </c>
    </row>
    <row r="999" spans="1:24" x14ac:dyDescent="0.55000000000000004">
      <c r="A999" s="1" t="s">
        <v>1083</v>
      </c>
      <c r="B999" s="1" t="s">
        <v>25</v>
      </c>
      <c r="C999">
        <v>42</v>
      </c>
      <c r="D999" s="1" t="s">
        <v>26</v>
      </c>
      <c r="E999" s="1" t="s">
        <v>90</v>
      </c>
      <c r="F999" s="1" t="s">
        <v>44</v>
      </c>
      <c r="G999" s="1" t="s">
        <v>29</v>
      </c>
      <c r="H999" s="1" t="s">
        <v>77</v>
      </c>
      <c r="I999" s="1" t="s">
        <v>59</v>
      </c>
      <c r="J999" s="1" t="s">
        <v>32</v>
      </c>
      <c r="K999" s="1" t="s">
        <v>33</v>
      </c>
      <c r="L999" s="2">
        <v>45988</v>
      </c>
      <c r="M999" s="2">
        <v>46028</v>
      </c>
      <c r="N999">
        <v>1621323</v>
      </c>
      <c r="O999">
        <v>90507</v>
      </c>
      <c r="P999">
        <v>1530816</v>
      </c>
      <c r="Q999" s="1" t="s">
        <v>34</v>
      </c>
      <c r="R999" s="1" t="s">
        <v>67</v>
      </c>
      <c r="S999" s="1" t="s">
        <v>36</v>
      </c>
      <c r="T999" s="1" t="s">
        <v>36</v>
      </c>
      <c r="U999">
        <v>3.7</v>
      </c>
      <c r="V999" t="s">
        <v>38</v>
      </c>
      <c r="W999">
        <v>1</v>
      </c>
      <c r="X999" s="1" t="s">
        <v>88</v>
      </c>
    </row>
    <row r="1000" spans="1:24" x14ac:dyDescent="0.55000000000000004">
      <c r="A1000" s="1" t="s">
        <v>1084</v>
      </c>
      <c r="B1000" s="1" t="s">
        <v>83</v>
      </c>
      <c r="C1000">
        <v>58</v>
      </c>
      <c r="D1000" s="1" t="s">
        <v>42</v>
      </c>
      <c r="E1000" s="1" t="s">
        <v>84</v>
      </c>
      <c r="F1000" s="1" t="s">
        <v>85</v>
      </c>
      <c r="G1000" s="1" t="s">
        <v>29</v>
      </c>
      <c r="H1000" s="1" t="s">
        <v>30</v>
      </c>
      <c r="I1000" s="1" t="s">
        <v>31</v>
      </c>
      <c r="J1000" s="1" t="s">
        <v>54</v>
      </c>
      <c r="K1000" s="1" t="s">
        <v>46</v>
      </c>
      <c r="L1000" s="2">
        <v>46043</v>
      </c>
      <c r="M1000" s="2">
        <v>46082</v>
      </c>
      <c r="N1000">
        <v>1445490</v>
      </c>
      <c r="O1000">
        <v>18594</v>
      </c>
      <c r="P1000">
        <v>1426896</v>
      </c>
      <c r="Q1000" s="1" t="s">
        <v>47</v>
      </c>
      <c r="R1000" s="1" t="s">
        <v>67</v>
      </c>
      <c r="S1000" s="1" t="s">
        <v>36</v>
      </c>
      <c r="T1000" s="1" t="s">
        <v>37</v>
      </c>
      <c r="U1000">
        <v>3.6</v>
      </c>
      <c r="V1000" t="s">
        <v>38</v>
      </c>
      <c r="W1000">
        <v>3</v>
      </c>
      <c r="X1000" s="1" t="s">
        <v>96</v>
      </c>
    </row>
    <row r="1001" spans="1:24" x14ac:dyDescent="0.55000000000000004">
      <c r="A1001" s="1" t="s">
        <v>1085</v>
      </c>
      <c r="B1001" s="1" t="s">
        <v>83</v>
      </c>
      <c r="C1001">
        <v>60</v>
      </c>
      <c r="D1001" s="1" t="s">
        <v>26</v>
      </c>
      <c r="E1001" s="1" t="s">
        <v>84</v>
      </c>
      <c r="F1001" s="1" t="s">
        <v>85</v>
      </c>
      <c r="G1001" s="1" t="s">
        <v>29</v>
      </c>
      <c r="H1001" s="1" t="s">
        <v>65</v>
      </c>
      <c r="I1001" s="1" t="s">
        <v>53</v>
      </c>
      <c r="J1001" s="1" t="s">
        <v>32</v>
      </c>
      <c r="K1001" s="1" t="s">
        <v>46</v>
      </c>
      <c r="L1001" s="2">
        <v>46034</v>
      </c>
      <c r="M1001" s="2">
        <v>46050</v>
      </c>
      <c r="N1001">
        <v>1563517</v>
      </c>
      <c r="O1001">
        <v>50153</v>
      </c>
      <c r="P1001">
        <v>1513364</v>
      </c>
      <c r="Q1001" s="1" t="s">
        <v>78</v>
      </c>
      <c r="R1001" s="1" t="s">
        <v>48</v>
      </c>
      <c r="S1001" s="1" t="s">
        <v>37</v>
      </c>
      <c r="T1001" s="1" t="s">
        <v>36</v>
      </c>
      <c r="U1001">
        <v>4.3</v>
      </c>
      <c r="V1001" t="s">
        <v>56</v>
      </c>
      <c r="W1001">
        <v>1</v>
      </c>
      <c r="X1001" s="1" t="s">
        <v>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FD05D-EFE7-45E6-98A5-4A703EE1EC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DB</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Anandha varshini</dc:creator>
  <cp:lastModifiedBy>Anandha varshini</cp:lastModifiedBy>
  <dcterms:created xsi:type="dcterms:W3CDTF">2026-07-26T04:32:12Z</dcterms:created>
  <dcterms:modified xsi:type="dcterms:W3CDTF">2026-07-26T10:33:59Z</dcterms:modified>
</cp:coreProperties>
</file>